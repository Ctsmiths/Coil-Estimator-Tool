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Sales Tools\Coil Estimator\"/>
    </mc:Choice>
  </mc:AlternateContent>
  <xr:revisionPtr revIDLastSave="0" documentId="13_ncr:1_{5E52AFDA-701B-4EAA-AF97-31592B7D185C}" xr6:coauthVersionLast="47" xr6:coauthVersionMax="47" xr10:uidLastSave="{00000000-0000-0000-0000-000000000000}"/>
  <bookViews>
    <workbookView xWindow="1044" yWindow="0" windowWidth="21996" windowHeight="12360" xr2:uid="{75BD0CFC-176E-4535-B9E9-7937B92F925F}"/>
  </bookViews>
  <sheets>
    <sheet name="Home" sheetId="1" r:id="rId1"/>
    <sheet name="Pump Savings" sheetId="2" r:id="rId2"/>
    <sheet name="Model_Pump Savings" sheetId="9" state="veryHidden" r:id="rId3"/>
    <sheet name="Flow Curves" sheetId="5" r:id="rId4"/>
    <sheet name="Charts" sheetId="3" r:id="rId5"/>
    <sheet name="Results" sheetId="8" r:id="rId6"/>
    <sheet name="InfoText" sheetId="4" state="veryHidden" r:id="rId7"/>
    <sheet name="Localization" sheetId="6" state="veryHidden" r:id="rId8"/>
    <sheet name="Model_Home" sheetId="7" state="veryHidden" r:id="rId9"/>
  </sheets>
  <functionGroups builtInGroupCount="19"/>
  <definedNames>
    <definedName name="DT_GAP">Model_Home!$H$3</definedName>
    <definedName name="DT_MAX_BOUND">Model_Home!$H$2</definedName>
    <definedName name="DT_MIN_BOUND">Model_Home!$H$1</definedName>
    <definedName name="_xlnm.Print_Area" localSheetId="4">Charts!$A$1:$Q$39</definedName>
    <definedName name="_xlnm.Print_Area" localSheetId="3">'Flow Curves'!$A$1:$X$111</definedName>
    <definedName name="_xlnm.Print_Area" localSheetId="0">Home!$A$1:$P$90</definedName>
    <definedName name="_xlnm.Print_Area" localSheetId="1">'Pump Savings'!$A$1:$R$67</definedName>
    <definedName name="_xlnm.Print_Area" localSheetId="5">Results!$A$1:$P$85</definedName>
    <definedName name="rDate">Model_Home!$N$2</definedName>
    <definedName name="rUpdMode">Model_Home!$N$3</definedName>
    <definedName name="rVersion">Model_Home!$N$1</definedName>
    <definedName name="SelectedLanguage">Home!$F$5</definedName>
    <definedName name="SelectedUnitSystem">Home!$F$6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 i="7" l="1"/>
  <c r="J5" i="7"/>
  <c r="J4" i="7"/>
  <c r="J3" i="7"/>
  <c r="J2" i="7"/>
  <c r="J1" i="7"/>
  <c r="F7" i="9"/>
  <c r="I10" i="2" s="1"/>
  <c r="F13" i="9"/>
  <c r="O5" i="9"/>
  <c r="F8" i="9"/>
  <c r="D76" i="8"/>
  <c r="E70" i="8"/>
  <c r="D63" i="8"/>
  <c r="H3" i="7"/>
  <c r="H2" i="7"/>
  <c r="H1" i="7"/>
  <c r="L29" i="2"/>
  <c r="Q65" i="2"/>
  <c r="I62" i="2"/>
  <c r="O45" i="2"/>
  <c r="B29" i="1"/>
  <c r="N46" i="2"/>
  <c r="B26" i="1"/>
  <c r="E43" i="8"/>
  <c r="I46" i="2"/>
  <c r="G46" i="2"/>
  <c r="E69" i="8"/>
  <c r="U33" i="2"/>
  <c r="N22" i="2"/>
  <c r="I12" i="2"/>
  <c r="E26" i="1"/>
  <c r="F54" i="2"/>
  <c r="O61" i="2"/>
  <c r="G38" i="2"/>
  <c r="B62" i="8"/>
  <c r="H38" i="2"/>
  <c r="E78" i="8"/>
  <c r="F7" i="2"/>
  <c r="G62" i="2"/>
  <c r="G30" i="2"/>
  <c r="J62" i="2"/>
  <c r="D13" i="8"/>
  <c r="P4" i="2"/>
  <c r="E64" i="8"/>
  <c r="M30" i="2"/>
  <c r="B21" i="2"/>
  <c r="F13" i="2"/>
  <c r="M22" i="2"/>
  <c r="E72" i="8"/>
  <c r="Q49" i="2"/>
  <c r="E67" i="8"/>
  <c r="E71" i="8"/>
  <c r="H12" i="2"/>
  <c r="O4" i="2"/>
  <c r="N4" i="2"/>
  <c r="M15" i="2"/>
  <c r="B81" i="8"/>
  <c r="J54" i="2"/>
  <c r="I22" i="2"/>
  <c r="N38" i="2"/>
  <c r="I38" i="2"/>
  <c r="G12" i="2"/>
  <c r="Q41" i="2"/>
  <c r="G19" i="8"/>
  <c r="B45" i="2"/>
  <c r="F46" i="2"/>
  <c r="Q64" i="2"/>
  <c r="B28" i="1"/>
  <c r="M14" i="2"/>
  <c r="B78" i="8"/>
  <c r="B14" i="8"/>
  <c r="B13" i="8"/>
  <c r="Q25" i="2"/>
  <c r="F19" i="8"/>
  <c r="F6" i="2"/>
  <c r="B67" i="8"/>
  <c r="B73" i="8"/>
  <c r="C13" i="8"/>
  <c r="O37" i="2"/>
  <c r="B77" i="8"/>
  <c r="J46" i="2"/>
  <c r="G22" i="2"/>
  <c r="B79" i="8"/>
  <c r="B61" i="2"/>
  <c r="M62" i="2"/>
  <c r="B64" i="8"/>
  <c r="F8" i="2"/>
  <c r="B19" i="2"/>
  <c r="B29" i="2"/>
  <c r="E62" i="8"/>
  <c r="B71" i="8"/>
  <c r="B68" i="8"/>
  <c r="L45" i="2"/>
  <c r="J12" i="2"/>
  <c r="B53" i="2"/>
  <c r="G14" i="1"/>
  <c r="Q57" i="2"/>
  <c r="L37" i="2"/>
  <c r="M54" i="2"/>
  <c r="M46" i="2"/>
  <c r="F30" i="2"/>
  <c r="E22" i="2"/>
  <c r="E46" i="2"/>
  <c r="H54" i="2"/>
  <c r="L21" i="2"/>
  <c r="N54" i="2"/>
  <c r="E76" i="8"/>
  <c r="E27" i="1"/>
  <c r="B60" i="8"/>
  <c r="B19" i="8"/>
  <c r="B64" i="1"/>
  <c r="D12" i="8"/>
  <c r="B33" i="8"/>
  <c r="F21" i="2"/>
  <c r="G54" i="2"/>
  <c r="N30" i="2"/>
  <c r="H46" i="2"/>
  <c r="B76" i="8"/>
  <c r="Q48" i="2"/>
  <c r="J22" i="2"/>
  <c r="B9" i="2"/>
  <c r="G13" i="1"/>
  <c r="F61" i="2"/>
  <c r="H62" i="2"/>
  <c r="B72" i="8"/>
  <c r="L61" i="2"/>
  <c r="Q24" i="2"/>
  <c r="B37" i="2"/>
  <c r="E38" i="2"/>
  <c r="J38" i="2"/>
  <c r="H30" i="2"/>
  <c r="G12" i="1"/>
  <c r="E54" i="2"/>
  <c r="F29" i="2"/>
  <c r="F38" i="2"/>
  <c r="M38" i="2"/>
  <c r="E28" i="1"/>
  <c r="Q40" i="2"/>
  <c r="I30" i="2"/>
  <c r="B27" i="8"/>
  <c r="H22" i="2"/>
  <c r="B16" i="8"/>
  <c r="E30" i="2"/>
  <c r="X33" i="2"/>
  <c r="E29" i="1"/>
  <c r="F45" i="2"/>
  <c r="E61" i="8"/>
  <c r="F22" i="2"/>
  <c r="B61" i="8"/>
  <c r="B66" i="8"/>
  <c r="G15" i="1"/>
  <c r="J30" i="2"/>
  <c r="E12" i="2"/>
  <c r="E77" i="8"/>
  <c r="F62" i="2"/>
  <c r="B10" i="2"/>
  <c r="O29" i="2"/>
  <c r="Q33" i="2"/>
  <c r="I54" i="2"/>
  <c r="L53" i="2"/>
  <c r="Q32" i="2"/>
  <c r="D62" i="8"/>
  <c r="N62" i="2"/>
  <c r="G64" i="1"/>
  <c r="O5" i="2"/>
  <c r="F53" i="2"/>
  <c r="O21" i="2"/>
  <c r="B63" i="8"/>
  <c r="V33" i="2"/>
  <c r="F37" i="2"/>
  <c r="B27" i="1"/>
  <c r="C19" i="8"/>
  <c r="D61" i="8"/>
  <c r="O53" i="2"/>
  <c r="B70" i="8"/>
  <c r="E68" i="8"/>
  <c r="E62" i="2"/>
  <c r="D19" i="8"/>
  <c r="F12" i="2"/>
  <c r="B75" i="8"/>
  <c r="E79" i="8"/>
  <c r="B69" i="8"/>
  <c r="Q56" i="2"/>
  <c r="J10" i="2"/>
  <c r="C33" i="8"/>
  <c r="B22" i="8" l="1"/>
  <c r="B25" i="8"/>
  <c r="B23" i="8"/>
  <c r="B24" i="8"/>
  <c r="B21" i="8"/>
  <c r="B20" i="8"/>
  <c r="F10" i="9"/>
  <c r="E13" i="9"/>
  <c r="F9" i="9"/>
  <c r="I8" i="5"/>
  <c r="H8" i="5"/>
  <c r="G8" i="5"/>
  <c r="D28" i="1"/>
  <c r="D27" i="1"/>
  <c r="D26" i="1"/>
  <c r="H5" i="2"/>
  <c r="E13" i="2"/>
  <c r="E19" i="8"/>
  <c r="E44" i="8"/>
  <c r="F9" i="2"/>
  <c r="B15" i="8"/>
  <c r="B55" i="8"/>
  <c r="B54" i="8"/>
  <c r="C12" i="8"/>
  <c r="B30" i="8"/>
  <c r="B45" i="8"/>
  <c r="B32" i="8"/>
  <c r="L10" i="2"/>
  <c r="C32" i="8"/>
  <c r="E45" i="8"/>
  <c r="B44" i="8"/>
  <c r="B53" i="8"/>
  <c r="B43" i="8"/>
  <c r="S11" i="5"/>
  <c r="F10" i="2"/>
  <c r="G13" i="9" l="1"/>
  <c r="N5" i="9"/>
  <c r="E48" i="9" s="1"/>
  <c r="H13" i="9"/>
  <c r="E63" i="9"/>
  <c r="E47" i="9"/>
  <c r="E31" i="9"/>
  <c r="E23" i="9"/>
  <c r="E39" i="9"/>
  <c r="E55" i="9"/>
  <c r="G17" i="5"/>
  <c r="H16" i="5"/>
  <c r="G16" i="5"/>
  <c r="H15" i="5"/>
  <c r="G15" i="5"/>
  <c r="H14" i="5"/>
  <c r="P14" i="5" s="1"/>
  <c r="G14" i="5"/>
  <c r="H13" i="5"/>
  <c r="P13" i="5" s="1"/>
  <c r="G13" i="5"/>
  <c r="H12" i="5"/>
  <c r="G12" i="5"/>
  <c r="H11" i="5"/>
  <c r="G11" i="5"/>
  <c r="H10" i="5"/>
  <c r="P10" i="5" s="1"/>
  <c r="G10" i="5"/>
  <c r="G108" i="5"/>
  <c r="J6" i="2"/>
  <c r="Q50" i="2"/>
  <c r="G19" i="1"/>
  <c r="F32" i="1"/>
  <c r="B5" i="5"/>
  <c r="M9" i="5"/>
  <c r="Q66" i="2"/>
  <c r="D6" i="5"/>
  <c r="B4" i="5"/>
  <c r="R22" i="2"/>
  <c r="G65" i="1"/>
  <c r="G10" i="2"/>
  <c r="C22" i="2"/>
  <c r="B66" i="1"/>
  <c r="O54" i="2"/>
  <c r="N12" i="2"/>
  <c r="S10" i="5"/>
  <c r="B54" i="1"/>
  <c r="N37" i="2"/>
  <c r="B19" i="1"/>
  <c r="G13" i="2"/>
  <c r="J5" i="2"/>
  <c r="B48" i="1"/>
  <c r="L12" i="2"/>
  <c r="D9" i="5"/>
  <c r="L4" i="5"/>
  <c r="B30" i="1"/>
  <c r="E23" i="2"/>
  <c r="B49" i="1"/>
  <c r="E39" i="2"/>
  <c r="F9" i="1"/>
  <c r="H7" i="5"/>
  <c r="B68" i="1"/>
  <c r="M53" i="2"/>
  <c r="L22" i="2"/>
  <c r="B46" i="2"/>
  <c r="O62" i="2"/>
  <c r="E47" i="2"/>
  <c r="E9" i="5"/>
  <c r="N5" i="2"/>
  <c r="R38" i="2"/>
  <c r="B12" i="2"/>
  <c r="B12" i="1"/>
  <c r="C6" i="5"/>
  <c r="B9" i="5"/>
  <c r="L46" i="2"/>
  <c r="B32" i="1"/>
  <c r="B45" i="1"/>
  <c r="C9" i="5"/>
  <c r="C33" i="1"/>
  <c r="B43" i="1"/>
  <c r="D54" i="2"/>
  <c r="L38" i="2"/>
  <c r="Q23" i="2"/>
  <c r="M6" i="5"/>
  <c r="C34" i="1"/>
  <c r="L9" i="5"/>
  <c r="P9" i="5"/>
  <c r="B62" i="2"/>
  <c r="G18" i="1"/>
  <c r="Q47" i="2"/>
  <c r="N29" i="2"/>
  <c r="D62" i="2"/>
  <c r="G26" i="1"/>
  <c r="B53" i="1"/>
  <c r="C62" i="2"/>
  <c r="L30" i="2"/>
  <c r="D22" i="2"/>
  <c r="I6" i="5"/>
  <c r="O22" i="2"/>
  <c r="B22" i="2"/>
  <c r="G9" i="1"/>
  <c r="B16" i="1"/>
  <c r="M29" i="2"/>
  <c r="B46" i="1"/>
  <c r="G11" i="1"/>
  <c r="C12" i="2"/>
  <c r="B11" i="1"/>
  <c r="L19" i="2"/>
  <c r="R21" i="2"/>
  <c r="G20" i="1"/>
  <c r="E48" i="2"/>
  <c r="G9" i="5"/>
  <c r="C38" i="2"/>
  <c r="B8" i="2"/>
  <c r="C54" i="2"/>
  <c r="B14" i="1"/>
  <c r="B63" i="1"/>
  <c r="B42" i="1"/>
  <c r="E65" i="1"/>
  <c r="D38" i="2"/>
  <c r="G16" i="1"/>
  <c r="D12" i="2"/>
  <c r="M21" i="2"/>
  <c r="B7" i="2"/>
  <c r="J9" i="5"/>
  <c r="Q58" i="2"/>
  <c r="S13" i="5"/>
  <c r="B10" i="1"/>
  <c r="C32" i="1"/>
  <c r="B13" i="1"/>
  <c r="B44" i="1"/>
  <c r="N45" i="2"/>
  <c r="B5" i="1"/>
  <c r="L54" i="2"/>
  <c r="D46" i="2"/>
  <c r="N53" i="2"/>
  <c r="L6" i="5"/>
  <c r="C46" i="2"/>
  <c r="B54" i="2"/>
  <c r="R54" i="2"/>
  <c r="F65" i="1"/>
  <c r="M13" i="2"/>
  <c r="B5" i="2"/>
  <c r="B18" i="1"/>
  <c r="Q34" i="2"/>
  <c r="G5" i="2"/>
  <c r="B15" i="1"/>
  <c r="B6" i="1"/>
  <c r="P7" i="5"/>
  <c r="E55" i="2"/>
  <c r="D30" i="2"/>
  <c r="H65" i="1"/>
  <c r="C36" i="1"/>
  <c r="C35" i="1"/>
  <c r="B52" i="1"/>
  <c r="D32" i="1"/>
  <c r="M61" i="2"/>
  <c r="H13" i="2"/>
  <c r="E63" i="2"/>
  <c r="F56" i="1"/>
  <c r="Q6" i="5"/>
  <c r="B62" i="1"/>
  <c r="V16" i="5"/>
  <c r="Q9" i="5"/>
  <c r="R46" i="2"/>
  <c r="M16" i="2"/>
  <c r="B67" i="1"/>
  <c r="F41" i="1"/>
  <c r="Q55" i="2"/>
  <c r="B47" i="1"/>
  <c r="N61" i="2"/>
  <c r="H9" i="5"/>
  <c r="O30" i="2"/>
  <c r="N21" i="2"/>
  <c r="M7" i="5"/>
  <c r="E41" i="1"/>
  <c r="B50" i="1"/>
  <c r="Q26" i="2"/>
  <c r="G27" i="1"/>
  <c r="G41" i="1"/>
  <c r="M45" i="2"/>
  <c r="O46" i="2"/>
  <c r="L62" i="2"/>
  <c r="S16" i="5"/>
  <c r="O9" i="5"/>
  <c r="Q42" i="2"/>
  <c r="Q39" i="2"/>
  <c r="B30" i="2"/>
  <c r="Q63" i="2"/>
  <c r="M37" i="2"/>
  <c r="U16" i="5"/>
  <c r="J6" i="5"/>
  <c r="R4" i="2"/>
  <c r="F9" i="5"/>
  <c r="P6" i="5"/>
  <c r="G6" i="5"/>
  <c r="F6" i="5"/>
  <c r="O38" i="2"/>
  <c r="E31" i="2"/>
  <c r="B20" i="1"/>
  <c r="G7" i="5"/>
  <c r="R62" i="2"/>
  <c r="E32" i="1"/>
  <c r="B6" i="2"/>
  <c r="E6" i="5"/>
  <c r="Q31" i="2"/>
  <c r="B51" i="1"/>
  <c r="E5" i="5"/>
  <c r="B38" i="2"/>
  <c r="C30" i="2"/>
  <c r="S6" i="5"/>
  <c r="B17" i="1"/>
  <c r="H6" i="5"/>
  <c r="E34" i="9" l="1"/>
  <c r="E57" i="9"/>
  <c r="E65" i="9"/>
  <c r="E16" i="9"/>
  <c r="P5" i="9"/>
  <c r="E40" i="9"/>
  <c r="E58" i="9"/>
  <c r="E50" i="9"/>
  <c r="E66" i="9"/>
  <c r="E14" i="9"/>
  <c r="E41" i="9"/>
  <c r="E24" i="9"/>
  <c r="E33" i="9"/>
  <c r="E25" i="9"/>
  <c r="E26" i="9"/>
  <c r="E42" i="9"/>
  <c r="E64" i="9"/>
  <c r="E49" i="9"/>
  <c r="E32" i="9"/>
  <c r="E56" i="9"/>
  <c r="E15" i="9"/>
  <c r="F55" i="9"/>
  <c r="M55" i="9"/>
  <c r="H55" i="9"/>
  <c r="M39" i="9"/>
  <c r="H39" i="9"/>
  <c r="F39" i="9"/>
  <c r="H31" i="9"/>
  <c r="M31" i="9"/>
  <c r="F31" i="9"/>
  <c r="F48" i="9"/>
  <c r="H48" i="9"/>
  <c r="F47" i="9"/>
  <c r="H47" i="9"/>
  <c r="M47" i="9"/>
  <c r="M23" i="9"/>
  <c r="F23" i="9"/>
  <c r="H23" i="9"/>
  <c r="F63" i="9"/>
  <c r="H63" i="9"/>
  <c r="M63" i="9"/>
  <c r="F52" i="8"/>
  <c r="C52" i="8"/>
  <c r="E52" i="8"/>
  <c r="D52" i="8"/>
  <c r="H108" i="5"/>
  <c r="Q108" i="5" s="1"/>
  <c r="J12" i="5"/>
  <c r="Q16" i="5"/>
  <c r="Q11" i="5"/>
  <c r="Q15" i="5"/>
  <c r="Q12" i="5"/>
  <c r="M11" i="5"/>
  <c r="P15" i="5"/>
  <c r="G19" i="5"/>
  <c r="G27" i="5"/>
  <c r="G35" i="5"/>
  <c r="G43" i="5"/>
  <c r="G51" i="5"/>
  <c r="G59" i="5"/>
  <c r="G79" i="5"/>
  <c r="M15" i="5"/>
  <c r="H20" i="5"/>
  <c r="P20" i="5" s="1"/>
  <c r="H28" i="5"/>
  <c r="P28" i="5" s="1"/>
  <c r="H36" i="5"/>
  <c r="P36" i="5" s="1"/>
  <c r="H44" i="5"/>
  <c r="M44" i="5" s="1"/>
  <c r="H52" i="5"/>
  <c r="P52" i="5" s="1"/>
  <c r="H60" i="5"/>
  <c r="M60" i="5" s="1"/>
  <c r="G83" i="5"/>
  <c r="G87" i="5"/>
  <c r="M13" i="5"/>
  <c r="H22" i="5"/>
  <c r="P22" i="5" s="1"/>
  <c r="H30" i="5"/>
  <c r="P30" i="5" s="1"/>
  <c r="H38" i="5"/>
  <c r="P38" i="5" s="1"/>
  <c r="H46" i="5"/>
  <c r="P46" i="5" s="1"/>
  <c r="H54" i="5"/>
  <c r="Q54" i="5" s="1"/>
  <c r="H62" i="5"/>
  <c r="Q62" i="5" s="1"/>
  <c r="G91" i="5"/>
  <c r="G23" i="5"/>
  <c r="G31" i="5"/>
  <c r="G39" i="5"/>
  <c r="G47" i="5"/>
  <c r="G55" i="5"/>
  <c r="G63" i="5"/>
  <c r="G95" i="5"/>
  <c r="P11" i="5"/>
  <c r="J16" i="5"/>
  <c r="H24" i="5"/>
  <c r="M24" i="5" s="1"/>
  <c r="H32" i="5"/>
  <c r="P32" i="5" s="1"/>
  <c r="H40" i="5"/>
  <c r="M40" i="5" s="1"/>
  <c r="H48" i="5"/>
  <c r="M48" i="5" s="1"/>
  <c r="H56" i="5"/>
  <c r="P56" i="5" s="1"/>
  <c r="G67" i="5"/>
  <c r="G99" i="5"/>
  <c r="G71" i="5"/>
  <c r="G103" i="5"/>
  <c r="M8" i="5"/>
  <c r="H18" i="5"/>
  <c r="P18" i="5" s="1"/>
  <c r="H26" i="5"/>
  <c r="P26" i="5" s="1"/>
  <c r="H34" i="5"/>
  <c r="P34" i="5" s="1"/>
  <c r="H42" i="5"/>
  <c r="P42" i="5" s="1"/>
  <c r="H50" i="5"/>
  <c r="Q50" i="5" s="1"/>
  <c r="H58" i="5"/>
  <c r="Q58" i="5" s="1"/>
  <c r="G75" i="5"/>
  <c r="G107" i="5"/>
  <c r="P8" i="5"/>
  <c r="M12" i="5"/>
  <c r="Q13" i="5"/>
  <c r="M16" i="5"/>
  <c r="H19" i="5"/>
  <c r="H23" i="5"/>
  <c r="H27" i="5"/>
  <c r="H31" i="5"/>
  <c r="H35" i="5"/>
  <c r="H39" i="5"/>
  <c r="H43" i="5"/>
  <c r="H47" i="5"/>
  <c r="H51" i="5"/>
  <c r="H55" i="5"/>
  <c r="H59" i="5"/>
  <c r="H63" i="5"/>
  <c r="H67" i="5"/>
  <c r="H71" i="5"/>
  <c r="H75" i="5"/>
  <c r="H79" i="5"/>
  <c r="H83" i="5"/>
  <c r="H87" i="5"/>
  <c r="H91" i="5"/>
  <c r="H95" i="5"/>
  <c r="H99" i="5"/>
  <c r="H103" i="5"/>
  <c r="H107" i="5"/>
  <c r="J11" i="5"/>
  <c r="P12" i="5"/>
  <c r="J15" i="5"/>
  <c r="P16" i="5"/>
  <c r="G18" i="5"/>
  <c r="G22" i="5"/>
  <c r="G26" i="5"/>
  <c r="G30" i="5"/>
  <c r="G34" i="5"/>
  <c r="G38" i="5"/>
  <c r="G42" i="5"/>
  <c r="G46" i="5"/>
  <c r="G50" i="5"/>
  <c r="G54" i="5"/>
  <c r="G58" i="5"/>
  <c r="G62" i="5"/>
  <c r="G66" i="5"/>
  <c r="G70" i="5"/>
  <c r="G74" i="5"/>
  <c r="G78" i="5"/>
  <c r="G82" i="5"/>
  <c r="G86" i="5"/>
  <c r="G90" i="5"/>
  <c r="G94" i="5"/>
  <c r="G98" i="5"/>
  <c r="G102" i="5"/>
  <c r="G106" i="5"/>
  <c r="G110" i="5"/>
  <c r="H66" i="5"/>
  <c r="H70" i="5"/>
  <c r="H74" i="5"/>
  <c r="H78" i="5"/>
  <c r="H82" i="5"/>
  <c r="H86" i="5"/>
  <c r="H90" i="5"/>
  <c r="H94" i="5"/>
  <c r="H98" i="5"/>
  <c r="H102" i="5"/>
  <c r="H106" i="5"/>
  <c r="H110" i="5"/>
  <c r="J10" i="5"/>
  <c r="J14" i="5"/>
  <c r="G21" i="5"/>
  <c r="G25" i="5"/>
  <c r="G29" i="5"/>
  <c r="G33" i="5"/>
  <c r="G37" i="5"/>
  <c r="G41" i="5"/>
  <c r="G45" i="5"/>
  <c r="G49" i="5"/>
  <c r="G53" i="5"/>
  <c r="G57" i="5"/>
  <c r="G61" i="5"/>
  <c r="G65" i="5"/>
  <c r="G69" i="5"/>
  <c r="G73" i="5"/>
  <c r="G77" i="5"/>
  <c r="G81" i="5"/>
  <c r="G85" i="5"/>
  <c r="G89" i="5"/>
  <c r="G93" i="5"/>
  <c r="G97" i="5"/>
  <c r="G101" i="5"/>
  <c r="G105" i="5"/>
  <c r="G109" i="5"/>
  <c r="M10" i="5"/>
  <c r="M14" i="5"/>
  <c r="H17" i="5"/>
  <c r="H21" i="5"/>
  <c r="H25" i="5"/>
  <c r="H29" i="5"/>
  <c r="H33" i="5"/>
  <c r="H37" i="5"/>
  <c r="H41" i="5"/>
  <c r="H45" i="5"/>
  <c r="H49" i="5"/>
  <c r="H53" i="5"/>
  <c r="H57" i="5"/>
  <c r="H61" i="5"/>
  <c r="H65" i="5"/>
  <c r="H69" i="5"/>
  <c r="H73" i="5"/>
  <c r="H77" i="5"/>
  <c r="H81" i="5"/>
  <c r="H85" i="5"/>
  <c r="H89" i="5"/>
  <c r="H93" i="5"/>
  <c r="H97" i="5"/>
  <c r="H101" i="5"/>
  <c r="H105" i="5"/>
  <c r="H109" i="5"/>
  <c r="J13" i="5"/>
  <c r="G20" i="5"/>
  <c r="G24" i="5"/>
  <c r="G28" i="5"/>
  <c r="G32" i="5"/>
  <c r="G36" i="5"/>
  <c r="G40" i="5"/>
  <c r="G44" i="5"/>
  <c r="G48" i="5"/>
  <c r="G52" i="5"/>
  <c r="G56" i="5"/>
  <c r="G60" i="5"/>
  <c r="G64" i="5"/>
  <c r="G68" i="5"/>
  <c r="G72" i="5"/>
  <c r="G76" i="5"/>
  <c r="G80" i="5"/>
  <c r="G84" i="5"/>
  <c r="G88" i="5"/>
  <c r="G92" i="5"/>
  <c r="G96" i="5"/>
  <c r="G100" i="5"/>
  <c r="G104" i="5"/>
  <c r="Q10" i="5"/>
  <c r="Q14" i="5"/>
  <c r="H64" i="5"/>
  <c r="H68" i="5"/>
  <c r="H72" i="5"/>
  <c r="H76" i="5"/>
  <c r="H80" i="5"/>
  <c r="H84" i="5"/>
  <c r="H88" i="5"/>
  <c r="H92" i="5"/>
  <c r="H96" i="5"/>
  <c r="H100" i="5"/>
  <c r="H104" i="5"/>
  <c r="F31" i="2"/>
  <c r="H39" i="2"/>
  <c r="E14" i="2"/>
  <c r="E24" i="2"/>
  <c r="H31" i="2"/>
  <c r="M63" i="2"/>
  <c r="M23" i="2"/>
  <c r="E26" i="2"/>
  <c r="E25" i="2"/>
  <c r="H48" i="2"/>
  <c r="E32" i="2"/>
  <c r="E16" i="2"/>
  <c r="P5" i="2"/>
  <c r="H47" i="2"/>
  <c r="E33" i="2"/>
  <c r="E34" i="2"/>
  <c r="F55" i="2"/>
  <c r="E64" i="2"/>
  <c r="F47" i="2"/>
  <c r="H23" i="2"/>
  <c r="F39" i="2"/>
  <c r="F23" i="2"/>
  <c r="H63" i="2"/>
  <c r="E58" i="2"/>
  <c r="M31" i="2"/>
  <c r="E57" i="2"/>
  <c r="M39" i="2"/>
  <c r="S12" i="5"/>
  <c r="F63" i="2"/>
  <c r="M47" i="2"/>
  <c r="E40" i="2"/>
  <c r="E15" i="2"/>
  <c r="E41" i="2"/>
  <c r="E50" i="2"/>
  <c r="E66" i="2"/>
  <c r="F48" i="2"/>
  <c r="E56" i="2"/>
  <c r="M55" i="2"/>
  <c r="E65" i="2"/>
  <c r="H55" i="2"/>
  <c r="E49" i="2"/>
  <c r="E42" i="2"/>
  <c r="F24" i="9" l="1"/>
  <c r="G24" i="9" s="1"/>
  <c r="F41" i="9"/>
  <c r="G41" i="9" s="1"/>
  <c r="F14" i="9"/>
  <c r="F66" i="9"/>
  <c r="G66" i="9" s="1"/>
  <c r="H56" i="9"/>
  <c r="F50" i="9"/>
  <c r="G50" i="9" s="1"/>
  <c r="G48" i="9"/>
  <c r="H32" i="9"/>
  <c r="H58" i="9"/>
  <c r="G31" i="9"/>
  <c r="H49" i="9"/>
  <c r="F40" i="9"/>
  <c r="G40" i="9" s="1"/>
  <c r="H64" i="9"/>
  <c r="H16" i="9"/>
  <c r="F26" i="9"/>
  <c r="F65" i="9"/>
  <c r="G65" i="9" s="1"/>
  <c r="H25" i="9"/>
  <c r="H57" i="9"/>
  <c r="H33" i="9"/>
  <c r="F34" i="9"/>
  <c r="M42" i="9"/>
  <c r="H34" i="9"/>
  <c r="H40" i="9"/>
  <c r="F58" i="9"/>
  <c r="M58" i="9"/>
  <c r="M57" i="9"/>
  <c r="H14" i="9"/>
  <c r="M48" i="9"/>
  <c r="M34" i="9"/>
  <c r="F16" i="9"/>
  <c r="F57" i="9"/>
  <c r="H65" i="9"/>
  <c r="R5" i="2"/>
  <c r="H50" i="9"/>
  <c r="M50" i="9"/>
  <c r="H66" i="9"/>
  <c r="M66" i="9"/>
  <c r="M24" i="9"/>
  <c r="M40" i="9"/>
  <c r="F33" i="9"/>
  <c r="H41" i="9"/>
  <c r="H24" i="9"/>
  <c r="M26" i="9"/>
  <c r="H26" i="9"/>
  <c r="F25" i="9"/>
  <c r="F42" i="9"/>
  <c r="H42" i="9"/>
  <c r="F32" i="9"/>
  <c r="M32" i="9"/>
  <c r="F64" i="9"/>
  <c r="M56" i="9"/>
  <c r="F49" i="9"/>
  <c r="F56" i="9"/>
  <c r="M64" i="9"/>
  <c r="M25" i="9"/>
  <c r="M65" i="9"/>
  <c r="M49" i="9"/>
  <c r="H15" i="9"/>
  <c r="F15" i="9"/>
  <c r="M33" i="9"/>
  <c r="M41" i="9"/>
  <c r="G55" i="9"/>
  <c r="G47" i="9"/>
  <c r="G63" i="9"/>
  <c r="G39" i="9"/>
  <c r="G23" i="9"/>
  <c r="M108" i="5"/>
  <c r="P108" i="5"/>
  <c r="J108" i="5"/>
  <c r="M38" i="5"/>
  <c r="J46" i="5"/>
  <c r="M46" i="5"/>
  <c r="P44" i="5"/>
  <c r="Q42" i="5"/>
  <c r="J62" i="5"/>
  <c r="M54" i="5"/>
  <c r="Q60" i="5"/>
  <c r="M62" i="5"/>
  <c r="M58" i="5"/>
  <c r="P24" i="5"/>
  <c r="J22" i="5"/>
  <c r="P58" i="5"/>
  <c r="M22" i="5"/>
  <c r="Q22" i="5"/>
  <c r="M28" i="5"/>
  <c r="J58" i="5"/>
  <c r="M36" i="5"/>
  <c r="M30" i="5"/>
  <c r="J30" i="5"/>
  <c r="M32" i="5"/>
  <c r="Q30" i="5"/>
  <c r="Q38" i="5"/>
  <c r="J38" i="5"/>
  <c r="M56" i="5"/>
  <c r="Q26" i="5"/>
  <c r="M26" i="5"/>
  <c r="J54" i="5"/>
  <c r="P40" i="5"/>
  <c r="P54" i="5"/>
  <c r="Q46" i="5"/>
  <c r="J26" i="5"/>
  <c r="J42" i="5"/>
  <c r="Q34" i="5"/>
  <c r="P50" i="5"/>
  <c r="M42" i="5"/>
  <c r="M52" i="5"/>
  <c r="M20" i="5"/>
  <c r="Q56" i="5"/>
  <c r="J56" i="5"/>
  <c r="P60" i="5"/>
  <c r="J60" i="5"/>
  <c r="P62" i="5"/>
  <c r="Q40" i="5"/>
  <c r="J40" i="5"/>
  <c r="Q44" i="5"/>
  <c r="J44" i="5"/>
  <c r="Q20" i="5"/>
  <c r="J20" i="5"/>
  <c r="Q52" i="5"/>
  <c r="J52" i="5"/>
  <c r="J50" i="5"/>
  <c r="J34" i="5"/>
  <c r="J18" i="5"/>
  <c r="Q32" i="5"/>
  <c r="J32" i="5"/>
  <c r="Q36" i="5"/>
  <c r="J36" i="5"/>
  <c r="Q48" i="5"/>
  <c r="J48" i="5"/>
  <c r="Q18" i="5"/>
  <c r="M50" i="5"/>
  <c r="M34" i="5"/>
  <c r="M18" i="5"/>
  <c r="P48" i="5"/>
  <c r="Q24" i="5"/>
  <c r="J24" i="5"/>
  <c r="Q28" i="5"/>
  <c r="J28" i="5"/>
  <c r="Q80" i="5"/>
  <c r="P80" i="5"/>
  <c r="M80" i="5"/>
  <c r="J80" i="5"/>
  <c r="Q98" i="5"/>
  <c r="P98" i="5"/>
  <c r="M98" i="5"/>
  <c r="J98" i="5"/>
  <c r="Q71" i="5"/>
  <c r="P71" i="5"/>
  <c r="M71" i="5"/>
  <c r="J71" i="5"/>
  <c r="Q94" i="5"/>
  <c r="P94" i="5"/>
  <c r="M94" i="5"/>
  <c r="J94" i="5"/>
  <c r="Q67" i="5"/>
  <c r="P67" i="5"/>
  <c r="M67" i="5"/>
  <c r="J67" i="5"/>
  <c r="M57" i="5"/>
  <c r="J57" i="5"/>
  <c r="Q57" i="5"/>
  <c r="P57" i="5"/>
  <c r="M19" i="5"/>
  <c r="Q19" i="5"/>
  <c r="P19" i="5"/>
  <c r="J19" i="5"/>
  <c r="M77" i="5"/>
  <c r="J77" i="5"/>
  <c r="Q77" i="5"/>
  <c r="P77" i="5"/>
  <c r="Q99" i="5"/>
  <c r="P99" i="5"/>
  <c r="M99" i="5"/>
  <c r="J99" i="5"/>
  <c r="M73" i="5"/>
  <c r="J73" i="5"/>
  <c r="Q73" i="5"/>
  <c r="P73" i="5"/>
  <c r="M21" i="5"/>
  <c r="J21" i="5"/>
  <c r="Q21" i="5"/>
  <c r="P21" i="5"/>
  <c r="Q90" i="5"/>
  <c r="P90" i="5"/>
  <c r="M90" i="5"/>
  <c r="J90" i="5"/>
  <c r="Q95" i="5"/>
  <c r="P95" i="5"/>
  <c r="M95" i="5"/>
  <c r="J95" i="5"/>
  <c r="Q63" i="5"/>
  <c r="P63" i="5"/>
  <c r="M63" i="5"/>
  <c r="J63" i="5"/>
  <c r="Q47" i="5"/>
  <c r="M47" i="5"/>
  <c r="P47" i="5"/>
  <c r="J47" i="5"/>
  <c r="Q31" i="5"/>
  <c r="M31" i="5"/>
  <c r="P31" i="5"/>
  <c r="J31" i="5"/>
  <c r="M41" i="5"/>
  <c r="J41" i="5"/>
  <c r="Q41" i="5"/>
  <c r="P41" i="5"/>
  <c r="Q104" i="5"/>
  <c r="J104" i="5"/>
  <c r="P104" i="5"/>
  <c r="M104" i="5"/>
  <c r="Q72" i="5"/>
  <c r="P72" i="5"/>
  <c r="M72" i="5"/>
  <c r="J72" i="5"/>
  <c r="M105" i="5"/>
  <c r="J105" i="5"/>
  <c r="P105" i="5"/>
  <c r="Q105" i="5"/>
  <c r="M53" i="5"/>
  <c r="J53" i="5"/>
  <c r="Q53" i="5"/>
  <c r="P53" i="5"/>
  <c r="M37" i="5"/>
  <c r="J37" i="5"/>
  <c r="Q37" i="5"/>
  <c r="P37" i="5"/>
  <c r="Q100" i="5"/>
  <c r="J100" i="5"/>
  <c r="P100" i="5"/>
  <c r="M100" i="5"/>
  <c r="Q68" i="5"/>
  <c r="P68" i="5"/>
  <c r="M68" i="5"/>
  <c r="J68" i="5"/>
  <c r="M101" i="5"/>
  <c r="J101" i="5"/>
  <c r="P101" i="5"/>
  <c r="Q101" i="5"/>
  <c r="M69" i="5"/>
  <c r="J69" i="5"/>
  <c r="Q69" i="5"/>
  <c r="P69" i="5"/>
  <c r="Q86" i="5"/>
  <c r="P86" i="5"/>
  <c r="M86" i="5"/>
  <c r="J86" i="5"/>
  <c r="Q91" i="5"/>
  <c r="P91" i="5"/>
  <c r="M91" i="5"/>
  <c r="J91" i="5"/>
  <c r="M81" i="5"/>
  <c r="J81" i="5"/>
  <c r="Q81" i="5"/>
  <c r="P81" i="5"/>
  <c r="Q66" i="5"/>
  <c r="P66" i="5"/>
  <c r="M66" i="5"/>
  <c r="J66" i="5"/>
  <c r="Q35" i="5"/>
  <c r="M35" i="5"/>
  <c r="P35" i="5"/>
  <c r="J35" i="5"/>
  <c r="M97" i="5"/>
  <c r="J97" i="5"/>
  <c r="P97" i="5"/>
  <c r="Q97" i="5"/>
  <c r="M65" i="5"/>
  <c r="J65" i="5"/>
  <c r="Q65" i="5"/>
  <c r="P65" i="5"/>
  <c r="M49" i="5"/>
  <c r="J49" i="5"/>
  <c r="Q49" i="5"/>
  <c r="P49" i="5"/>
  <c r="M33" i="5"/>
  <c r="J33" i="5"/>
  <c r="Q33" i="5"/>
  <c r="P33" i="5"/>
  <c r="M17" i="5"/>
  <c r="J17" i="5"/>
  <c r="Q17" i="5"/>
  <c r="P17" i="5"/>
  <c r="Q82" i="5"/>
  <c r="P82" i="5"/>
  <c r="M82" i="5"/>
  <c r="J82" i="5"/>
  <c r="Q87" i="5"/>
  <c r="P87" i="5"/>
  <c r="M87" i="5"/>
  <c r="J87" i="5"/>
  <c r="M59" i="5"/>
  <c r="Q59" i="5"/>
  <c r="P59" i="5"/>
  <c r="J59" i="5"/>
  <c r="M43" i="5"/>
  <c r="Q43" i="5"/>
  <c r="P43" i="5"/>
  <c r="J43" i="5"/>
  <c r="Q27" i="5"/>
  <c r="P27" i="5"/>
  <c r="M27" i="5"/>
  <c r="J27" i="5"/>
  <c r="Q64" i="5"/>
  <c r="P64" i="5"/>
  <c r="M64" i="5"/>
  <c r="J64" i="5"/>
  <c r="Q110" i="5"/>
  <c r="P110" i="5"/>
  <c r="M110" i="5"/>
  <c r="J110" i="5"/>
  <c r="Q83" i="5"/>
  <c r="P83" i="5"/>
  <c r="M83" i="5"/>
  <c r="J83" i="5"/>
  <c r="M89" i="5"/>
  <c r="J89" i="5"/>
  <c r="Q89" i="5"/>
  <c r="P89" i="5"/>
  <c r="M29" i="5"/>
  <c r="J29" i="5"/>
  <c r="Q29" i="5"/>
  <c r="P29" i="5"/>
  <c r="Q106" i="5"/>
  <c r="P106" i="5"/>
  <c r="M106" i="5"/>
  <c r="J106" i="5"/>
  <c r="Q74" i="5"/>
  <c r="P74" i="5"/>
  <c r="M74" i="5"/>
  <c r="J74" i="5"/>
  <c r="Q79" i="5"/>
  <c r="P79" i="5"/>
  <c r="M79" i="5"/>
  <c r="J79" i="5"/>
  <c r="Q55" i="5"/>
  <c r="P55" i="5"/>
  <c r="M55" i="5"/>
  <c r="J55" i="5"/>
  <c r="M39" i="5"/>
  <c r="Q39" i="5"/>
  <c r="P39" i="5"/>
  <c r="J39" i="5"/>
  <c r="M23" i="5"/>
  <c r="Q23" i="5"/>
  <c r="P23" i="5"/>
  <c r="J23" i="5"/>
  <c r="M25" i="5"/>
  <c r="J25" i="5"/>
  <c r="Q25" i="5"/>
  <c r="P25" i="5"/>
  <c r="Q103" i="5"/>
  <c r="P103" i="5"/>
  <c r="M103" i="5"/>
  <c r="J103" i="5"/>
  <c r="Q51" i="5"/>
  <c r="M51" i="5"/>
  <c r="P51" i="5"/>
  <c r="J51" i="5"/>
  <c r="Q76" i="5"/>
  <c r="P76" i="5"/>
  <c r="M76" i="5"/>
  <c r="J76" i="5"/>
  <c r="M109" i="5"/>
  <c r="J109" i="5"/>
  <c r="P109" i="5"/>
  <c r="Q109" i="5"/>
  <c r="Q96" i="5"/>
  <c r="J96" i="5"/>
  <c r="P96" i="5"/>
  <c r="M96" i="5"/>
  <c r="J92" i="5"/>
  <c r="Q92" i="5"/>
  <c r="P92" i="5"/>
  <c r="M92" i="5"/>
  <c r="M93" i="5"/>
  <c r="J93" i="5"/>
  <c r="P93" i="5"/>
  <c r="Q93" i="5"/>
  <c r="Q78" i="5"/>
  <c r="P78" i="5"/>
  <c r="M78" i="5"/>
  <c r="J78" i="5"/>
  <c r="Q88" i="5"/>
  <c r="P88" i="5"/>
  <c r="M88" i="5"/>
  <c r="J88" i="5"/>
  <c r="M61" i="5"/>
  <c r="J61" i="5"/>
  <c r="Q61" i="5"/>
  <c r="P61" i="5"/>
  <c r="M45" i="5"/>
  <c r="J45" i="5"/>
  <c r="Q45" i="5"/>
  <c r="P45" i="5"/>
  <c r="Q84" i="5"/>
  <c r="P84" i="5"/>
  <c r="M84" i="5"/>
  <c r="J84" i="5"/>
  <c r="M85" i="5"/>
  <c r="J85" i="5"/>
  <c r="Q85" i="5"/>
  <c r="P85" i="5"/>
  <c r="Q102" i="5"/>
  <c r="P102" i="5"/>
  <c r="M102" i="5"/>
  <c r="J102" i="5"/>
  <c r="Q70" i="5"/>
  <c r="P70" i="5"/>
  <c r="M70" i="5"/>
  <c r="J70" i="5"/>
  <c r="Q107" i="5"/>
  <c r="P107" i="5"/>
  <c r="M107" i="5"/>
  <c r="J107" i="5"/>
  <c r="Q75" i="5"/>
  <c r="P75" i="5"/>
  <c r="M75" i="5"/>
  <c r="J75" i="5"/>
  <c r="M56" i="2"/>
  <c r="H57" i="2"/>
  <c r="M48" i="2"/>
  <c r="G63" i="2"/>
  <c r="M24" i="2"/>
  <c r="G31" i="2"/>
  <c r="H50" i="2"/>
  <c r="H65" i="2"/>
  <c r="M26" i="2"/>
  <c r="F56" i="2"/>
  <c r="M40" i="2"/>
  <c r="H16" i="2"/>
  <c r="G48" i="2"/>
  <c r="F16" i="2"/>
  <c r="F25" i="2"/>
  <c r="G65" i="2"/>
  <c r="F65" i="2"/>
  <c r="H33" i="2"/>
  <c r="H25" i="2"/>
  <c r="F66" i="2"/>
  <c r="F58" i="2"/>
  <c r="M41" i="2"/>
  <c r="M32" i="2"/>
  <c r="M64" i="2"/>
  <c r="H26" i="2"/>
  <c r="M25" i="2"/>
  <c r="M57" i="2"/>
  <c r="M33" i="2"/>
  <c r="G50" i="2"/>
  <c r="H14" i="2"/>
  <c r="F41" i="2"/>
  <c r="M66" i="2"/>
  <c r="H66" i="2"/>
  <c r="F64" i="2"/>
  <c r="F50" i="2"/>
  <c r="M50" i="2"/>
  <c r="F33" i="2"/>
  <c r="G47" i="2"/>
  <c r="H58" i="2"/>
  <c r="F34" i="2"/>
  <c r="F32" i="2"/>
  <c r="M65" i="2"/>
  <c r="F24" i="2"/>
  <c r="F15" i="2"/>
  <c r="F42" i="2"/>
  <c r="M49" i="2"/>
  <c r="G55" i="2"/>
  <c r="H42" i="2"/>
  <c r="H24" i="2"/>
  <c r="M58" i="2"/>
  <c r="G41" i="2"/>
  <c r="F14" i="2"/>
  <c r="H32" i="2"/>
  <c r="F26" i="2"/>
  <c r="H41" i="2"/>
  <c r="H34" i="2"/>
  <c r="H40" i="2"/>
  <c r="M42" i="2"/>
  <c r="H56" i="2"/>
  <c r="H64" i="2"/>
  <c r="G39" i="2"/>
  <c r="H49" i="2"/>
  <c r="F40" i="2"/>
  <c r="S14" i="5"/>
  <c r="G24" i="2"/>
  <c r="G40" i="2"/>
  <c r="F57" i="2"/>
  <c r="G66" i="2"/>
  <c r="M34" i="2"/>
  <c r="H15" i="2"/>
  <c r="F49" i="2"/>
  <c r="G23" i="2"/>
  <c r="G32" i="9" l="1"/>
  <c r="G58" i="9"/>
  <c r="G15" i="9"/>
  <c r="G25" i="9"/>
  <c r="G34" i="9"/>
  <c r="G56" i="9"/>
  <c r="G49" i="9"/>
  <c r="K4" i="7" s="1"/>
  <c r="G33" i="9"/>
  <c r="G26" i="9"/>
  <c r="G14" i="9"/>
  <c r="G64" i="9"/>
  <c r="G16" i="9"/>
  <c r="G57" i="9"/>
  <c r="G42" i="9"/>
  <c r="K3" i="7" s="1"/>
  <c r="G34" i="2"/>
  <c r="G16" i="2"/>
  <c r="G64" i="2"/>
  <c r="G26" i="2"/>
  <c r="G58" i="2"/>
  <c r="G14" i="2"/>
  <c r="G25" i="2"/>
  <c r="G49" i="2"/>
  <c r="G42" i="2"/>
  <c r="G32" i="2"/>
  <c r="G15" i="2"/>
  <c r="G57" i="2"/>
  <c r="G56" i="2"/>
  <c r="G33" i="2"/>
  <c r="K1" i="7" l="1"/>
  <c r="K5" i="7"/>
  <c r="K6" i="7"/>
  <c r="K2" i="7"/>
  <c r="C65" i="2"/>
  <c r="C64" i="2"/>
  <c r="C63" i="2"/>
  <c r="C57" i="2"/>
  <c r="C56" i="2"/>
  <c r="C55" i="2"/>
  <c r="C49" i="2"/>
  <c r="C48" i="2"/>
  <c r="C47" i="2"/>
  <c r="C41" i="2"/>
  <c r="C40" i="2"/>
  <c r="C39" i="2"/>
  <c r="C33" i="2"/>
  <c r="C32" i="2"/>
  <c r="C31" i="2"/>
  <c r="C25" i="2"/>
  <c r="C24" i="2"/>
  <c r="C23" i="2"/>
  <c r="C15" i="2"/>
  <c r="C14" i="2"/>
  <c r="C13" i="2"/>
  <c r="F54" i="1"/>
  <c r="E54" i="1"/>
  <c r="E36" i="1"/>
  <c r="G54" i="1" l="1"/>
  <c r="G44" i="1"/>
  <c r="G53" i="1"/>
  <c r="G52" i="1"/>
  <c r="G51" i="1"/>
  <c r="G50" i="1"/>
  <c r="G43" i="1"/>
  <c r="G49" i="1"/>
  <c r="G48" i="1"/>
  <c r="G47" i="1"/>
  <c r="G46" i="1"/>
  <c r="G45" i="1"/>
  <c r="C42" i="2"/>
  <c r="E37" i="1"/>
  <c r="G56" i="1"/>
  <c r="C50" i="2"/>
  <c r="C58" i="2"/>
  <c r="C66" i="2"/>
  <c r="C26" i="2"/>
  <c r="C34" i="2"/>
  <c r="C16" i="2"/>
  <c r="D29" i="1" l="1"/>
  <c r="F35" i="1" l="1"/>
  <c r="F36" i="1"/>
  <c r="L55" i="2"/>
  <c r="L63" i="2"/>
  <c r="L47" i="2"/>
  <c r="L39" i="2"/>
  <c r="L31" i="2"/>
  <c r="L23" i="2"/>
  <c r="F34" i="1"/>
  <c r="F33" i="1"/>
  <c r="F37" i="1" l="1"/>
  <c r="D56" i="2" l="1"/>
  <c r="D64" i="8"/>
  <c r="L26" i="2"/>
  <c r="L58" i="2"/>
  <c r="L56" i="2"/>
  <c r="L65" i="2"/>
  <c r="L25" i="2"/>
  <c r="L57" i="2"/>
  <c r="L41" i="2"/>
  <c r="L42" i="2"/>
  <c r="L34" i="2"/>
  <c r="L40" i="2"/>
  <c r="L24" i="2"/>
  <c r="L50" i="2"/>
  <c r="L32" i="2"/>
  <c r="L64" i="2"/>
  <c r="L66" i="2"/>
  <c r="L33" i="2"/>
  <c r="L49" i="2"/>
  <c r="L48" i="2"/>
  <c r="D24" i="2"/>
  <c r="D26" i="2"/>
  <c r="D57" i="2"/>
  <c r="D65" i="2"/>
  <c r="D58" i="2"/>
  <c r="D16" i="2"/>
  <c r="D15" i="2"/>
  <c r="D64" i="2"/>
  <c r="D14" i="2"/>
  <c r="D39" i="2"/>
  <c r="I39" i="2" s="1"/>
  <c r="D23" i="2"/>
  <c r="I23" i="2" s="1"/>
  <c r="D63" i="2"/>
  <c r="I63" i="2" s="1"/>
  <c r="D66" i="2"/>
  <c r="D50" i="2"/>
  <c r="D55" i="2"/>
  <c r="I55" i="2" s="1"/>
  <c r="D34" i="2"/>
  <c r="D47" i="2"/>
  <c r="I47" i="2" s="1"/>
  <c r="D48" i="2"/>
  <c r="D33" i="2"/>
  <c r="D42" i="2"/>
  <c r="D31" i="2"/>
  <c r="I31" i="2" s="1"/>
  <c r="D41" i="2"/>
  <c r="D25" i="2"/>
  <c r="D13" i="2"/>
  <c r="I13" i="2" s="1"/>
  <c r="D40" i="2"/>
  <c r="D49" i="2"/>
  <c r="D32" i="2"/>
  <c r="J24" i="9" l="1"/>
  <c r="I24" i="2"/>
  <c r="O24" i="2" s="1"/>
  <c r="J57" i="9"/>
  <c r="I57" i="2"/>
  <c r="O57" i="2" s="1"/>
  <c r="J65" i="9"/>
  <c r="I65" i="2"/>
  <c r="O65" i="2" s="1"/>
  <c r="J32" i="9"/>
  <c r="I32" i="2"/>
  <c r="O32" i="2" s="1"/>
  <c r="J41" i="9"/>
  <c r="I41" i="2"/>
  <c r="O41" i="2" s="1"/>
  <c r="J42" i="9"/>
  <c r="I42" i="2"/>
  <c r="O42" i="2" s="1"/>
  <c r="J64" i="9"/>
  <c r="I64" i="2"/>
  <c r="O64" i="2" s="1"/>
  <c r="J49" i="9"/>
  <c r="I49" i="2"/>
  <c r="O49" i="2" s="1"/>
  <c r="J66" i="9"/>
  <c r="I66" i="2"/>
  <c r="O66" i="2" s="1"/>
  <c r="J14" i="9"/>
  <c r="I14" i="2"/>
  <c r="L14" i="2" s="1"/>
  <c r="J33" i="9"/>
  <c r="I33" i="2"/>
  <c r="O33" i="2" s="1"/>
  <c r="J15" i="9"/>
  <c r="I15" i="2"/>
  <c r="L15" i="2" s="1"/>
  <c r="J26" i="9"/>
  <c r="I26" i="2"/>
  <c r="O26" i="2" s="1"/>
  <c r="J48" i="9"/>
  <c r="I48" i="2"/>
  <c r="O48" i="2" s="1"/>
  <c r="J16" i="9"/>
  <c r="I16" i="2"/>
  <c r="L16" i="2" s="1"/>
  <c r="J34" i="9"/>
  <c r="I34" i="2"/>
  <c r="O34" i="2" s="1"/>
  <c r="J50" i="9"/>
  <c r="I50" i="2"/>
  <c r="O50" i="2" s="1"/>
  <c r="J40" i="9"/>
  <c r="I40" i="2"/>
  <c r="O40" i="2" s="1"/>
  <c r="J25" i="9"/>
  <c r="I25" i="2"/>
  <c r="O25" i="2" s="1"/>
  <c r="J58" i="9"/>
  <c r="I58" i="2"/>
  <c r="O58" i="2" s="1"/>
  <c r="J56" i="9"/>
  <c r="I56" i="2"/>
  <c r="O56" i="2" s="1"/>
  <c r="R58" i="2"/>
  <c r="F24" i="8" s="1"/>
  <c r="R66" i="2"/>
  <c r="F25" i="8" s="1"/>
  <c r="N16" i="2"/>
  <c r="N13" i="2" s="1"/>
  <c r="R50" i="2"/>
  <c r="F23" i="8" s="1"/>
  <c r="R42" i="2"/>
  <c r="F22" i="8" s="1"/>
  <c r="R34" i="2"/>
  <c r="F21" i="8" s="1"/>
  <c r="R26" i="2"/>
  <c r="F20" i="8" s="1"/>
  <c r="R40" i="9"/>
  <c r="R24" i="9"/>
  <c r="J63" i="9"/>
  <c r="R64" i="9"/>
  <c r="R65" i="9" s="1"/>
  <c r="J55" i="9"/>
  <c r="R56" i="9"/>
  <c r="R57" i="9" s="1"/>
  <c r="J47" i="9"/>
  <c r="R48" i="9"/>
  <c r="R49" i="9" s="1"/>
  <c r="J31" i="9"/>
  <c r="R32" i="9"/>
  <c r="R33" i="9" s="1"/>
  <c r="J13" i="9"/>
  <c r="N14" i="9"/>
  <c r="O39" i="2"/>
  <c r="J39" i="9"/>
  <c r="O23" i="2"/>
  <c r="J23" i="9"/>
  <c r="O63" i="2"/>
  <c r="O47" i="2"/>
  <c r="O55" i="2"/>
  <c r="O31" i="2"/>
  <c r="L13" i="2"/>
  <c r="J15" i="2"/>
  <c r="R48" i="2"/>
  <c r="J16" i="2"/>
  <c r="J56" i="2"/>
  <c r="J64" i="2"/>
  <c r="J63" i="2"/>
  <c r="J39" i="2"/>
  <c r="J55" i="2"/>
  <c r="J34" i="2"/>
  <c r="J40" i="2"/>
  <c r="J47" i="2"/>
  <c r="J48" i="2"/>
  <c r="R64" i="2"/>
  <c r="N14" i="2"/>
  <c r="R40" i="2"/>
  <c r="R56" i="2"/>
  <c r="R32" i="2"/>
  <c r="D25" i="8"/>
  <c r="J66" i="2"/>
  <c r="J26" i="2"/>
  <c r="J24" i="2"/>
  <c r="J25" i="2"/>
  <c r="R49" i="2"/>
  <c r="R33" i="2"/>
  <c r="J14" i="2"/>
  <c r="R65" i="2"/>
  <c r="D24" i="8"/>
  <c r="J65" i="2"/>
  <c r="R24" i="2"/>
  <c r="D23" i="8"/>
  <c r="J13" i="2"/>
  <c r="J58" i="2"/>
  <c r="J41" i="2"/>
  <c r="R57" i="2"/>
  <c r="J42" i="2"/>
  <c r="J33" i="2"/>
  <c r="D16" i="8"/>
  <c r="J32" i="2"/>
  <c r="J31" i="2"/>
  <c r="D21" i="8"/>
  <c r="J50" i="2"/>
  <c r="J23" i="2"/>
  <c r="J49" i="2"/>
  <c r="J57" i="2"/>
  <c r="N32" i="9" l="1"/>
  <c r="N25" i="9"/>
  <c r="N48" i="9"/>
  <c r="N64" i="9"/>
  <c r="N42" i="9"/>
  <c r="N50" i="9"/>
  <c r="N58" i="9"/>
  <c r="N34" i="9"/>
  <c r="N56" i="9"/>
  <c r="N24" i="9"/>
  <c r="N41" i="9"/>
  <c r="N57" i="9"/>
  <c r="N33" i="9"/>
  <c r="N40" i="9"/>
  <c r="N66" i="9"/>
  <c r="N65" i="9"/>
  <c r="N26" i="9"/>
  <c r="N49" i="9"/>
  <c r="G25" i="8"/>
  <c r="C25" i="8"/>
  <c r="G24" i="8"/>
  <c r="C24" i="8"/>
  <c r="G23" i="8"/>
  <c r="C23" i="8"/>
  <c r="G22" i="8"/>
  <c r="G21" i="8"/>
  <c r="C21" i="8"/>
  <c r="G20" i="8"/>
  <c r="R41" i="9"/>
  <c r="R25" i="9"/>
  <c r="J67" i="2"/>
  <c r="N63" i="9"/>
  <c r="J59" i="2"/>
  <c r="N55" i="9"/>
  <c r="J51" i="2"/>
  <c r="N23" i="9"/>
  <c r="N47" i="9"/>
  <c r="N39" i="9"/>
  <c r="N31" i="9"/>
  <c r="N15" i="9"/>
  <c r="J43" i="2"/>
  <c r="J27" i="2"/>
  <c r="D69" i="8"/>
  <c r="D72" i="8"/>
  <c r="R47" i="2"/>
  <c r="E23" i="8" s="1"/>
  <c r="R63" i="2"/>
  <c r="E25" i="8" s="1"/>
  <c r="R39" i="2"/>
  <c r="E22" i="8" s="1"/>
  <c r="R31" i="2"/>
  <c r="E21" i="8" s="1"/>
  <c r="O59" i="2"/>
  <c r="L17" i="2"/>
  <c r="O67" i="2"/>
  <c r="R23" i="2"/>
  <c r="E20" i="8" s="1"/>
  <c r="O51" i="2"/>
  <c r="I67" i="2"/>
  <c r="O35" i="2"/>
  <c r="J35" i="2"/>
  <c r="O43" i="2"/>
  <c r="I51" i="2"/>
  <c r="I27" i="2"/>
  <c r="O27" i="2"/>
  <c r="J17" i="2"/>
  <c r="I59" i="2"/>
  <c r="R55" i="2"/>
  <c r="E24" i="8" s="1"/>
  <c r="I43" i="2"/>
  <c r="I35" i="2"/>
  <c r="I17" i="2"/>
  <c r="N39" i="2"/>
  <c r="D22" i="8"/>
  <c r="N32" i="2"/>
  <c r="N26" i="2"/>
  <c r="F28" i="8"/>
  <c r="N34" i="2"/>
  <c r="F33" i="8"/>
  <c r="N41" i="2"/>
  <c r="C16" i="8"/>
  <c r="N40" i="2"/>
  <c r="N33" i="2"/>
  <c r="N47" i="2"/>
  <c r="N64" i="2"/>
  <c r="N66" i="2"/>
  <c r="R25" i="2"/>
  <c r="E33" i="8"/>
  <c r="C15" i="8"/>
  <c r="N57" i="2"/>
  <c r="N56" i="2"/>
  <c r="D15" i="8"/>
  <c r="N48" i="2"/>
  <c r="N23" i="2"/>
  <c r="E28" i="8"/>
  <c r="N50" i="2"/>
  <c r="N49" i="2"/>
  <c r="N42" i="2"/>
  <c r="N24" i="2"/>
  <c r="D20" i="8"/>
  <c r="R41" i="2"/>
  <c r="N65" i="2"/>
  <c r="N15" i="2"/>
  <c r="N31" i="2"/>
  <c r="N25" i="2"/>
  <c r="N58" i="2"/>
  <c r="N55" i="2"/>
  <c r="N63" i="2"/>
  <c r="D45" i="8" l="1"/>
  <c r="D44" i="8"/>
  <c r="H67" i="1"/>
  <c r="F54" i="8" s="1"/>
  <c r="G67" i="1"/>
  <c r="E54" i="8" s="1"/>
  <c r="F67" i="1"/>
  <c r="D54" i="8" s="1"/>
  <c r="E67" i="1"/>
  <c r="C54" i="8" s="1"/>
  <c r="H66" i="1"/>
  <c r="F53" i="8" s="1"/>
  <c r="G66" i="1"/>
  <c r="E53" i="8" s="1"/>
  <c r="F66" i="1"/>
  <c r="D53" i="8" s="1"/>
  <c r="E66" i="1"/>
  <c r="C53" i="8" s="1"/>
  <c r="C22" i="8"/>
  <c r="C20" i="8"/>
  <c r="D77" i="8"/>
  <c r="D67" i="8"/>
  <c r="D68" i="8"/>
  <c r="D70" i="8"/>
  <c r="D73" i="8"/>
  <c r="D71" i="8"/>
  <c r="D14" i="8"/>
  <c r="D43" i="8"/>
  <c r="E68" i="1"/>
  <c r="C14" i="8"/>
  <c r="G28" i="8"/>
  <c r="G33" i="8"/>
  <c r="D78" i="8" l="1"/>
  <c r="D79" i="8"/>
  <c r="C55" i="8"/>
</calcChain>
</file>

<file path=xl/sharedStrings.xml><?xml version="1.0" encoding="utf-8"?>
<sst xmlns="http://schemas.openxmlformats.org/spreadsheetml/2006/main" count="1513" uniqueCount="1312">
  <si>
    <t>Value</t>
  </si>
  <si>
    <t>Unit</t>
  </si>
  <si>
    <t>Electricity Cost (Average)</t>
  </si>
  <si>
    <t>$/kWh</t>
  </si>
  <si>
    <t>pcs.</t>
  </si>
  <si>
    <t>Operating Hours / Day</t>
  </si>
  <si>
    <t>hours</t>
  </si>
  <si>
    <t>Operating Days / Week</t>
  </si>
  <si>
    <t>days</t>
  </si>
  <si>
    <t>Actual Primary Pump Head (Design)</t>
  </si>
  <si>
    <t>Pump, VFD, Motor Efficiency (Average)</t>
  </si>
  <si>
    <t>%</t>
  </si>
  <si>
    <t>Design Delta T</t>
  </si>
  <si>
    <t>Future Delta T (Energy Valve Delta T Manager Setting)</t>
  </si>
  <si>
    <t>Editable Field</t>
  </si>
  <si>
    <t>Label</t>
  </si>
  <si>
    <t>Annual Operating Hours</t>
  </si>
  <si>
    <t>Climate Region</t>
  </si>
  <si>
    <t>North East</t>
  </si>
  <si>
    <t>Point</t>
  </si>
  <si>
    <t>Bin</t>
  </si>
  <si>
    <t>Load</t>
  </si>
  <si>
    <t>% of Operating Time</t>
  </si>
  <si>
    <t>Operating Hours</t>
  </si>
  <si>
    <t>A</t>
  </si>
  <si>
    <t>Design</t>
  </si>
  <si>
    <t>B</t>
  </si>
  <si>
    <t>Peak</t>
  </si>
  <si>
    <t>C</t>
  </si>
  <si>
    <t>Low</t>
  </si>
  <si>
    <t>D</t>
  </si>
  <si>
    <t>Min</t>
  </si>
  <si>
    <t>Cooling Degree Days</t>
  </si>
  <si>
    <t>Humidity Adjustment</t>
  </si>
  <si>
    <t>Multiplier</t>
  </si>
  <si>
    <t>Central</t>
  </si>
  <si>
    <t>East North Central</t>
  </si>
  <si>
    <t>West North Central</t>
  </si>
  <si>
    <t>South East</t>
  </si>
  <si>
    <t>South</t>
  </si>
  <si>
    <t>Mountain</t>
  </si>
  <si>
    <t>North West</t>
  </si>
  <si>
    <t>Custom Region</t>
  </si>
  <si>
    <t>Average US</t>
  </si>
  <si>
    <t>Pump Design Factor</t>
  </si>
  <si>
    <t>Load [%]</t>
  </si>
  <si>
    <t>Time [%]</t>
  </si>
  <si>
    <t>Time [h]</t>
  </si>
  <si>
    <t>Power [kW]</t>
  </si>
  <si>
    <t>Pump costs</t>
  </si>
  <si>
    <t>Energy [kWh]</t>
  </si>
  <si>
    <t xml:space="preserve"> </t>
  </si>
  <si>
    <t>`</t>
  </si>
  <si>
    <t>Number Of Coils</t>
  </si>
  <si>
    <t>Used to Calculate Projected Flow</t>
  </si>
  <si>
    <t>Y</t>
  </si>
  <si>
    <t>Linear Part</t>
  </si>
  <si>
    <t>Equal Part</t>
  </si>
  <si>
    <t>Linear</t>
  </si>
  <si>
    <t>EQ %</t>
  </si>
  <si>
    <t>In %</t>
  </si>
  <si>
    <t>In V</t>
  </si>
  <si>
    <t>g/min.</t>
  </si>
  <si>
    <r>
      <rPr>
        <b/>
        <sz val="10"/>
        <rFont val="Calibri"/>
        <family val="2"/>
      </rPr>
      <t>°</t>
    </r>
    <r>
      <rPr>
        <b/>
        <sz val="10"/>
        <rFont val="Arial"/>
        <family val="2"/>
      </rPr>
      <t>F</t>
    </r>
  </si>
  <si>
    <t>EQ%</t>
  </si>
  <si>
    <t>BTU [h]</t>
  </si>
  <si>
    <t>Avg [Tons]</t>
  </si>
  <si>
    <t>Pumping Cost</t>
  </si>
  <si>
    <t>weeks</t>
  </si>
  <si>
    <t>BTU/h</t>
  </si>
  <si>
    <t>As % of Design</t>
  </si>
  <si>
    <t>Increase</t>
  </si>
  <si>
    <t xml:space="preserve">Additional </t>
  </si>
  <si>
    <t>Total Annual</t>
  </si>
  <si>
    <t>Gallons</t>
  </si>
  <si>
    <t>Pump Costs</t>
  </si>
  <si>
    <t>Sheet</t>
  </si>
  <si>
    <t>Cell Address</t>
  </si>
  <si>
    <t>Information Displayed</t>
  </si>
  <si>
    <t>Annual Gallons</t>
  </si>
  <si>
    <t>From</t>
  </si>
  <si>
    <t>To</t>
  </si>
  <si>
    <t>Max Flow Rate</t>
  </si>
  <si>
    <t>$E$5</t>
  </si>
  <si>
    <t>$E$6</t>
  </si>
  <si>
    <t>Home</t>
  </si>
  <si>
    <t>Enter the number of coils the valve is controlling. ** Future Release **</t>
  </si>
  <si>
    <t>V'max</t>
  </si>
  <si>
    <t>Used for Charts</t>
  </si>
  <si>
    <t>Actual Delta T (Prior To Energy Valve Installation)</t>
  </si>
  <si>
    <t>Selected Value</t>
  </si>
  <si>
    <t>Operating Weeks / Year</t>
  </si>
  <si>
    <t>EV050</t>
  </si>
  <si>
    <t>EV075</t>
  </si>
  <si>
    <t>EV100</t>
  </si>
  <si>
    <t>EV125</t>
  </si>
  <si>
    <t>EV150</t>
  </si>
  <si>
    <t>EV200</t>
  </si>
  <si>
    <t>EV200H</t>
  </si>
  <si>
    <t>EV250SU-127</t>
  </si>
  <si>
    <t>EV300SU-180</t>
  </si>
  <si>
    <t>EV400SU-317</t>
  </si>
  <si>
    <t>EV500SU-495</t>
  </si>
  <si>
    <t>EV600SU-713</t>
  </si>
  <si>
    <t>Dual EV's</t>
  </si>
  <si>
    <t>1.65..6.6 gpm</t>
  </si>
  <si>
    <t>2.7..11 gpm</t>
  </si>
  <si>
    <t>4.5..18.2 gpm</t>
  </si>
  <si>
    <t>7.1..28.5 gpm</t>
  </si>
  <si>
    <t>1.25"  DN32</t>
  </si>
  <si>
    <t>0.5"   DN15</t>
  </si>
  <si>
    <t>0.75"   DN20</t>
  </si>
  <si>
    <t>1"  DN25</t>
  </si>
  <si>
    <t>11..44 gpm</t>
  </si>
  <si>
    <t>16.5..66 gpm</t>
  </si>
  <si>
    <t>25..100 gpm</t>
  </si>
  <si>
    <t>1.5"  DN40</t>
  </si>
  <si>
    <t>2"  DN50</t>
  </si>
  <si>
    <t>2.5"  DN65</t>
  </si>
  <si>
    <t>38..127 gpm</t>
  </si>
  <si>
    <t>54..180 gpm</t>
  </si>
  <si>
    <t>3"  DN80</t>
  </si>
  <si>
    <t>95..317 gpm</t>
  </si>
  <si>
    <t>4"  DN100</t>
  </si>
  <si>
    <t>149..495 gpm</t>
  </si>
  <si>
    <t>5"  DN125</t>
  </si>
  <si>
    <t>214..713 gpm</t>
  </si>
  <si>
    <t>6"  DN150</t>
  </si>
  <si>
    <t>Design Chilled Water Coil Flow [V'max]</t>
  </si>
  <si>
    <t xml:space="preserve">Energy Valve Model </t>
  </si>
  <si>
    <t>Example:</t>
  </si>
  <si>
    <t>Projected Flow Calculations</t>
  </si>
  <si>
    <t>DDC Control signal</t>
  </si>
  <si>
    <t>Valve Position &amp; Flow based on DDC Voltage</t>
  </si>
  <si>
    <t>Voltage</t>
  </si>
  <si>
    <t xml:space="preserve">Hint: Refer to the </t>
  </si>
  <si>
    <t>Blue</t>
  </si>
  <si>
    <t>Columns</t>
  </si>
  <si>
    <t>Pump Savings</t>
  </si>
  <si>
    <t>Annual Carbon Dioxide Avoided</t>
  </si>
  <si>
    <t>pounds</t>
  </si>
  <si>
    <t>Number of Tree Seedlings Grown for 10 Years</t>
  </si>
  <si>
    <t>tree seedlings</t>
  </si>
  <si>
    <t>Equivalent to Number of Houses' Annual Electricity Use</t>
  </si>
  <si>
    <t>homes</t>
  </si>
  <si>
    <t>Key</t>
  </si>
  <si>
    <t>ES</t>
  </si>
  <si>
    <t>PT</t>
  </si>
  <si>
    <t>FR</t>
  </si>
  <si>
    <t>LANGUAGE_LABEL</t>
  </si>
  <si>
    <t>Language</t>
  </si>
  <si>
    <t>Idioma</t>
  </si>
  <si>
    <t>Langue</t>
  </si>
  <si>
    <t>UNITS_LABEL</t>
  </si>
  <si>
    <t>Units</t>
  </si>
  <si>
    <t>Unidades</t>
  </si>
  <si>
    <t>Unités</t>
  </si>
  <si>
    <t>COIL_VALUE_HDR</t>
  </si>
  <si>
    <t>Valor</t>
  </si>
  <si>
    <t>Valeur</t>
  </si>
  <si>
    <t>COIL_UNIT_HDR</t>
  </si>
  <si>
    <t>Unidad</t>
  </si>
  <si>
    <t>Unidade</t>
  </si>
  <si>
    <t>Unité</t>
  </si>
  <si>
    <t>ELECTRICITY_COST_AVG</t>
  </si>
  <si>
    <t>Costo de Electricidad (Promedio)</t>
  </si>
  <si>
    <t>Custo de Eletricidade (Média)</t>
  </si>
  <si>
    <t>Coût de l'Électricité (Moyenne)</t>
  </si>
  <si>
    <t>DESIGN_COIL_LOAD</t>
  </si>
  <si>
    <t>Design Coil Load</t>
  </si>
  <si>
    <t>Carga de Diseño de la Serpentina</t>
  </si>
  <si>
    <t>Carga de Projeto da Serpentina</t>
  </si>
  <si>
    <t>Charge de Conception de la Batterie</t>
  </si>
  <si>
    <t>NUMBER_OF_COILS</t>
  </si>
  <si>
    <t>Número de Serpentinas</t>
  </si>
  <si>
    <t>Nombre de Batteries</t>
  </si>
  <si>
    <t>OPERATING_HOURS_DAY</t>
  </si>
  <si>
    <t>Horas de Operación / Día</t>
  </si>
  <si>
    <t>Horas de Operação / Dia</t>
  </si>
  <si>
    <t>Heures de Fonctionnement / Jour</t>
  </si>
  <si>
    <t>OPERATING_DAYS_WEEK</t>
  </si>
  <si>
    <t>Días de Operación / Semana</t>
  </si>
  <si>
    <t>Dias de Operação / Semana</t>
  </si>
  <si>
    <t>Jours de Fonctionnement / Semaine</t>
  </si>
  <si>
    <t>OPERATING_WEEKS_YEAR</t>
  </si>
  <si>
    <t>Semanas de Operación / Año</t>
  </si>
  <si>
    <t>Semanas de Operação / Ano</t>
  </si>
  <si>
    <t>Semaines de Fonctionnement / An</t>
  </si>
  <si>
    <t>ACTUAL_PRIMARY_PUMP_HEAD</t>
  </si>
  <si>
    <t>Altura Real de la Bomba Primaria (Diseño)</t>
  </si>
  <si>
    <t>Altura Real da Bomba Primária (Projeto)</t>
  </si>
  <si>
    <t>Hauteur Réelle de la Pompe Primaire (Conception)</t>
  </si>
  <si>
    <t>PUMP_VFD_MOTOR_EFFICIENCY</t>
  </si>
  <si>
    <t>Eficiencia de Bomba, VFD, Motor (Promedio)</t>
  </si>
  <si>
    <t>Eficiência de Bomba, VFD, Motor (Média)</t>
  </si>
  <si>
    <t>Rendement Pompe, VFD, Moteur (Moyenne)</t>
  </si>
  <si>
    <t>DESIGN_DELTA_T</t>
  </si>
  <si>
    <t>Delta T de Diseño</t>
  </si>
  <si>
    <t>Delta T de Projeto</t>
  </si>
  <si>
    <t>Delta T de Conception</t>
  </si>
  <si>
    <t>ACTUAL_DELTA_T</t>
  </si>
  <si>
    <t>Delta T Real (Antes de la Instalación de Energy Valve)</t>
  </si>
  <si>
    <t>Delta T Real (Antes da Instalação do Energy Valve)</t>
  </si>
  <si>
    <t>Delta T Réel (Avant l'Installation de l'Energy Valve)</t>
  </si>
  <si>
    <t>FUTURE_DELTA_T</t>
  </si>
  <si>
    <t>EDITABLE_FIELD</t>
  </si>
  <si>
    <t>Campo Editable</t>
  </si>
  <si>
    <t>Campo Editável</t>
  </si>
  <si>
    <t>Champ Modifiable</t>
  </si>
  <si>
    <t>LABEL_WORD</t>
  </si>
  <si>
    <t>Etiqueta</t>
  </si>
  <si>
    <t>Rótulo</t>
  </si>
  <si>
    <t>Étiquette</t>
  </si>
  <si>
    <t>ANNUAL_OPERATING_HOURS</t>
  </si>
  <si>
    <t>Horas de Operación Anuales</t>
  </si>
  <si>
    <t>Horas de Operação Anuais</t>
  </si>
  <si>
    <t>Heures de Fonctionnement Annuelles</t>
  </si>
  <si>
    <t>CLIMATE_REGION</t>
  </si>
  <si>
    <t>Región Climática</t>
  </si>
  <si>
    <t>Região Climática</t>
  </si>
  <si>
    <t>Région Climatique</t>
  </si>
  <si>
    <t>POINT_WORD</t>
  </si>
  <si>
    <t>Punto</t>
  </si>
  <si>
    <t>Ponto</t>
  </si>
  <si>
    <t>BIN_WORD</t>
  </si>
  <si>
    <t>Intervalo</t>
  </si>
  <si>
    <t>Faixa</t>
  </si>
  <si>
    <t>Plage</t>
  </si>
  <si>
    <t>LOAD_WORD</t>
  </si>
  <si>
    <t>Carga</t>
  </si>
  <si>
    <t>Charge</t>
  </si>
  <si>
    <t>PCT_OF_OPERATING_TIME</t>
  </si>
  <si>
    <t>% del Tiempo de Operación</t>
  </si>
  <si>
    <t>% do Tempo de Operação</t>
  </si>
  <si>
    <t>% du Temps de Fonctionnement</t>
  </si>
  <si>
    <t>OPERATING_HOURS_HDR</t>
  </si>
  <si>
    <t>Horas de Operación</t>
  </si>
  <si>
    <t>Horas de Operação</t>
  </si>
  <si>
    <t>Heures de Fonctionnement</t>
  </si>
  <si>
    <t>BIN_DESIGN</t>
  </si>
  <si>
    <t>Diseño</t>
  </si>
  <si>
    <t>Projeto</t>
  </si>
  <si>
    <t>Conception</t>
  </si>
  <si>
    <t>BIN_PEAK</t>
  </si>
  <si>
    <t>Pico</t>
  </si>
  <si>
    <t>Pointe</t>
  </si>
  <si>
    <t>BIN_LOW</t>
  </si>
  <si>
    <t>Bajo</t>
  </si>
  <si>
    <t>Baixo</t>
  </si>
  <si>
    <t>Bas</t>
  </si>
  <si>
    <t>BIN_MIN</t>
  </si>
  <si>
    <t>Mín</t>
  </si>
  <si>
    <t>COOLING_DEGREE_DAYS</t>
  </si>
  <si>
    <t>Días Grado de Enfriamiento</t>
  </si>
  <si>
    <t>Graus-Dia de Resfriamento</t>
  </si>
  <si>
    <t>Degrés-Jours de Refroidissement</t>
  </si>
  <si>
    <t>HUMIDITY_ADJUSTMENT</t>
  </si>
  <si>
    <t>Ajuste de Humedad</t>
  </si>
  <si>
    <t>Ajuste de Umidade</t>
  </si>
  <si>
    <t>Ajustement de l'Humidité</t>
  </si>
  <si>
    <t>MULTIPLIER_WORD</t>
  </si>
  <si>
    <t>Multiplicador</t>
  </si>
  <si>
    <t>Multiplicateur</t>
  </si>
  <si>
    <t>SELECTED_VALUE</t>
  </si>
  <si>
    <t>Valor Seleccionado</t>
  </si>
  <si>
    <t>Valor Selecionado</t>
  </si>
  <si>
    <t>Valeur Sélectionnée</t>
  </si>
  <si>
    <t>REGION_NORTH_EAST</t>
  </si>
  <si>
    <t>Noreste</t>
  </si>
  <si>
    <t>Nordeste</t>
  </si>
  <si>
    <t>Nord-Est</t>
  </si>
  <si>
    <t>REGION_CENTRAL</t>
  </si>
  <si>
    <t>Centre</t>
  </si>
  <si>
    <t>REGION_EAST_NORTH_CENTRAL</t>
  </si>
  <si>
    <t>Centro-Norte Este</t>
  </si>
  <si>
    <t>Centro-Norte Leste</t>
  </si>
  <si>
    <t>Centre-Nord Est</t>
  </si>
  <si>
    <t>REGION_WEST_NORTH_CENTRAL</t>
  </si>
  <si>
    <t>Centro-Norte Oeste</t>
  </si>
  <si>
    <t>Centre-Nord Ouest</t>
  </si>
  <si>
    <t>REGION_SOUTH_EAST</t>
  </si>
  <si>
    <t>Sureste</t>
  </si>
  <si>
    <t>Sudeste</t>
  </si>
  <si>
    <t>Sud-Est</t>
  </si>
  <si>
    <t>REGION_SOUTH</t>
  </si>
  <si>
    <t>Sur</t>
  </si>
  <si>
    <t>Sul</t>
  </si>
  <si>
    <t>Sud</t>
  </si>
  <si>
    <t>REGION_SOUTH_WEST</t>
  </si>
  <si>
    <t>South West</t>
  </si>
  <si>
    <t>Suroeste</t>
  </si>
  <si>
    <t>Sudoeste</t>
  </si>
  <si>
    <t>Sud-Ouest</t>
  </si>
  <si>
    <t>REGION_MOUNTAIN</t>
  </si>
  <si>
    <t>Montaña</t>
  </si>
  <si>
    <t>Montanha</t>
  </si>
  <si>
    <t>Montagne</t>
  </si>
  <si>
    <t>REGION_NORTH_WEST</t>
  </si>
  <si>
    <t>Noroeste</t>
  </si>
  <si>
    <t>Nord-Ouest</t>
  </si>
  <si>
    <t>REGION_WEST</t>
  </si>
  <si>
    <t>West</t>
  </si>
  <si>
    <t>Oeste</t>
  </si>
  <si>
    <t>Ouest</t>
  </si>
  <si>
    <t>REGION_CUSTOM</t>
  </si>
  <si>
    <t>Región Personalizada</t>
  </si>
  <si>
    <t>Região Personalizada</t>
  </si>
  <si>
    <t>Région Personnalisée</t>
  </si>
  <si>
    <t>REGION_AVERAGE_US</t>
  </si>
  <si>
    <t>Promedio EE.UU.</t>
  </si>
  <si>
    <t>Média EUA</t>
  </si>
  <si>
    <t>Moyenne É.-U.</t>
  </si>
  <si>
    <t>English</t>
  </si>
  <si>
    <t>Ingrese el número de serpentinas que controla la válvula. ** Próximo Lanzamiento **</t>
  </si>
  <si>
    <t>Insira o número de serpentinas controladas pela válvula. ** Lançamento Futuro **</t>
  </si>
  <si>
    <t>Saisissez le nombre de batteries contrôlées par la vanne. ** Version Future **</t>
  </si>
  <si>
    <t>Si no conoce el % de eficiencia de la bomba, un valor seguro es 70 - 80 por ciento.</t>
  </si>
  <si>
    <t>Se você não souber a eficiência da bomba em %, um valor seguro é 70 - 80 por cento.</t>
  </si>
  <si>
    <t>Si vous ne connaissez pas le rendement de la pompe en %, une valeur sûre est de 70 à 80 %.</t>
  </si>
  <si>
    <t>Factor de Diseño de la Bomba - Ingrese el porcentaje de bombeo adicional disponible debido al sobredimensionamiento o diseño futuro.</t>
  </si>
  <si>
    <t>Fator de Projeto da Bomba - Insira a porcentagem de bombeamento adicional disponível devido ao sobredimensionamento ou projeto futuro.</t>
  </si>
  <si>
    <t>Facteur de Conception de la Pompe - Saisissez le pourcentage de pompage supplémentaire disponible en raison du surdimensionnement ou de la conception future.</t>
  </si>
  <si>
    <t>Español</t>
  </si>
  <si>
    <t>Português</t>
  </si>
  <si>
    <t>Français</t>
  </si>
  <si>
    <t>ANNUAL_GAL</t>
  </si>
  <si>
    <t>PUMP_COSTS_LOWER</t>
  </si>
  <si>
    <t>Costos de bombeo</t>
  </si>
  <si>
    <t>Coûts de pompage</t>
  </si>
  <si>
    <t>FLOW_GPM_HDR</t>
  </si>
  <si>
    <t>HEAD_FT_HDR</t>
  </si>
  <si>
    <t>POWER_HP_HDR</t>
  </si>
  <si>
    <t>POWER_KW_HDR</t>
  </si>
  <si>
    <t>Potencia [kW]</t>
  </si>
  <si>
    <t>Potência [kW]</t>
  </si>
  <si>
    <t>Puissance [kW]</t>
  </si>
  <si>
    <t>ENERGY_KWH_HDR</t>
  </si>
  <si>
    <t>Energía [kWh]</t>
  </si>
  <si>
    <t>Energia [kWh]</t>
  </si>
  <si>
    <t>Énergie [kWh]</t>
  </si>
  <si>
    <t>LOAD_PCT_HDR</t>
  </si>
  <si>
    <t>Carga [%]</t>
  </si>
  <si>
    <t>Charge [%]</t>
  </si>
  <si>
    <t>TIME_PCT_HDR</t>
  </si>
  <si>
    <t>Tiempo [%]</t>
  </si>
  <si>
    <t>Tempo [%]</t>
  </si>
  <si>
    <t>Temps [%]</t>
  </si>
  <si>
    <t>TIME_H_HDR</t>
  </si>
  <si>
    <t>Tiempo [h]</t>
  </si>
  <si>
    <t>Tempo [h]</t>
  </si>
  <si>
    <t>Temps [h]</t>
  </si>
  <si>
    <t>BTU_H_HDR</t>
  </si>
  <si>
    <t>AVG_GPM</t>
  </si>
  <si>
    <t>BTU_H_SLASH</t>
  </si>
  <si>
    <t>INCREASE_WORD</t>
  </si>
  <si>
    <t>Aumento</t>
  </si>
  <si>
    <t>Augmentation</t>
  </si>
  <si>
    <t>ADDITIONAL_TRAIL</t>
  </si>
  <si>
    <t xml:space="preserve">Adicional </t>
  </si>
  <si>
    <t xml:space="preserve">Supplémentaire </t>
  </si>
  <si>
    <t>ADDITONAL_TYPO</t>
  </si>
  <si>
    <t>Adicional</t>
  </si>
  <si>
    <t>Supplémentaire</t>
  </si>
  <si>
    <t>AS_PCT_OF_DESIGN</t>
  </si>
  <si>
    <t>IN_GPM</t>
  </si>
  <si>
    <t>GAL_PUMPED</t>
  </si>
  <si>
    <t>PUMP_COSTS_TITLE</t>
  </si>
  <si>
    <t>Costos de Bombeo</t>
  </si>
  <si>
    <t>Coûts de Pompage</t>
  </si>
  <si>
    <t>CHILLED_WATER_COIL_FLOW_AT_DT</t>
  </si>
  <si>
    <t>PUMP_DESIGN_FACTOR</t>
  </si>
  <si>
    <t>Factor de Diseño de la Bomba</t>
  </si>
  <si>
    <t>Fator de Projeto da Bomba</t>
  </si>
  <si>
    <t>Facteur de Conception de la Pompe</t>
  </si>
  <si>
    <t>MAX_FLOW_RATE</t>
  </si>
  <si>
    <t>Caudal Máximo</t>
  </si>
  <si>
    <t>Vazão Máxima</t>
  </si>
  <si>
    <t>Débit Maximum</t>
  </si>
  <si>
    <t>MINIMUM_PUMP_HEAD</t>
  </si>
  <si>
    <t>Altura Mínima de la Bomba</t>
  </si>
  <si>
    <t>Altura Mínima da Bomba</t>
  </si>
  <si>
    <t>Hauteur Minimale de la Pompe</t>
  </si>
  <si>
    <t>DESIGN_CHW_COIL_FLOW_VMAX</t>
  </si>
  <si>
    <t>DESIGN_CHW_COIL_DT</t>
  </si>
  <si>
    <t>Design Chilled Water Coil ΔT</t>
  </si>
  <si>
    <t>DESIGN_CHW_COIL_TONNAGE</t>
  </si>
  <si>
    <t>DESIGN_CHW_COIL_BTUH</t>
  </si>
  <si>
    <t>ENERGY_VALVE_MODEL</t>
  </si>
  <si>
    <t xml:space="preserve">Modelo de Energy Valve </t>
  </si>
  <si>
    <t xml:space="preserve">Modèle d'Energy Valve </t>
  </si>
  <si>
    <t>CHW_COIL_FLOWS_AT_DIFFERENT_DT</t>
  </si>
  <si>
    <t>EFFECTS_OF_LOW_DT_VS_DESIGN</t>
  </si>
  <si>
    <t>Effects of Low ΔT vs Design</t>
  </si>
  <si>
    <t>Efectos de ΔT Bajo vs. Diseño</t>
  </si>
  <si>
    <t>Efeitos de ΔT Baixo vs. Projeto</t>
  </si>
  <si>
    <t>Effets d'un ΔT Faible vs Conception</t>
  </si>
  <si>
    <t>TOTAL_ANNUAL</t>
  </si>
  <si>
    <t>Total Anual</t>
  </si>
  <si>
    <t>Total Annuel</t>
  </si>
  <si>
    <t>GALLONS_WORD</t>
  </si>
  <si>
    <t>Galones</t>
  </si>
  <si>
    <t>Galões</t>
  </si>
  <si>
    <t>AVG_GPM_BRACKET</t>
  </si>
  <si>
    <t>Avg [GPM]</t>
  </si>
  <si>
    <t>Prom. [GPM]</t>
  </si>
  <si>
    <t>Méd. [GPM]</t>
  </si>
  <si>
    <t>Moy. [GPM]</t>
  </si>
  <si>
    <t>AVG_TONS_BRACKET</t>
  </si>
  <si>
    <t>Prom. [Tons]</t>
  </si>
  <si>
    <t>Méd. [Tons]</t>
  </si>
  <si>
    <t>Moy. [Tons]</t>
  </si>
  <si>
    <t>PUMPING_COST</t>
  </si>
  <si>
    <t>Costo de Bombeo</t>
  </si>
  <si>
    <t>Custo de Bombeamento</t>
  </si>
  <si>
    <t>Coût de Pompage</t>
  </si>
  <si>
    <t>ANNUAL_GALLONS_FULL</t>
  </si>
  <si>
    <t>Galones Anuales</t>
  </si>
  <si>
    <t>Galões Anuais</t>
  </si>
  <si>
    <t>Gallons Annuels</t>
  </si>
  <si>
    <t>CALC_ANNUAL_SAVINGS_SLIDER</t>
  </si>
  <si>
    <t>FROM_WORD</t>
  </si>
  <si>
    <t>Desde</t>
  </si>
  <si>
    <t>De</t>
  </si>
  <si>
    <t>TO_WORD</t>
  </si>
  <si>
    <t>Hasta</t>
  </si>
  <si>
    <t>Até</t>
  </si>
  <si>
    <t>À</t>
  </si>
  <si>
    <t>ANNUAL_CO2_AVOIDED</t>
  </si>
  <si>
    <t>Dióxido de Carbono Anual Evitado</t>
  </si>
  <si>
    <t>Dioxyde de Carbone Annuel Évité</t>
  </si>
  <si>
    <t>POUNDS_WORD</t>
  </si>
  <si>
    <t>libras</t>
  </si>
  <si>
    <t>livres</t>
  </si>
  <si>
    <t>TREE_SEEDLINGS_10YR</t>
  </si>
  <si>
    <t>Número de Mudas de Árvores Cultivadas por 10 Anos</t>
  </si>
  <si>
    <t>Nombre de Semis d'Arbres Cultivés pendant 10 Ans</t>
  </si>
  <si>
    <t>TREE_SEEDLINGS_UNIT</t>
  </si>
  <si>
    <t>plántulas de árboles</t>
  </si>
  <si>
    <t>mudas de árvores</t>
  </si>
  <si>
    <t>semis d'arbres</t>
  </si>
  <si>
    <t>EQUIV_HOMES_ELECTRICITY</t>
  </si>
  <si>
    <t>HOMES_WORD</t>
  </si>
  <si>
    <t>hogares</t>
  </si>
  <si>
    <t>residências</t>
  </si>
  <si>
    <t>foyers</t>
  </si>
  <si>
    <t>DELTA_T_F_HDR</t>
  </si>
  <si>
    <t>Delta-T [F]</t>
  </si>
  <si>
    <t>BASED_ON_VMAX_SUFFIX</t>
  </si>
  <si>
    <t>* based on V'max</t>
  </si>
  <si>
    <t>* según V'max</t>
  </si>
  <si>
    <t>* baseado em V'max</t>
  </si>
  <si>
    <t>* basé sur V'max</t>
  </si>
  <si>
    <t>ANNUAL_SAVINGS_CHANGING_DT_PREFIX</t>
  </si>
  <si>
    <t xml:space="preserve">Annual Energy Savings for 
changing Delta T from </t>
  </si>
  <si>
    <t xml:space="preserve">Ahorro Anual de Energía al 
cambiar el Delta T de </t>
  </si>
  <si>
    <t xml:space="preserve">Economia Anual de Energia ao 
alterar o Delta T de </t>
  </si>
  <si>
    <t xml:space="preserve">Économies d'Énergie Annuelles en 
changeant le Delta T de </t>
  </si>
  <si>
    <t>DT_TO_MID</t>
  </si>
  <si>
    <t xml:space="preserve"> to </t>
  </si>
  <si>
    <t xml:space="preserve"> a </t>
  </si>
  <si>
    <t xml:space="preserve"> para </t>
  </si>
  <si>
    <t xml:space="preserve"> à </t>
  </si>
  <si>
    <t>USED_TO_CALC_PROJECTED_FLOW</t>
  </si>
  <si>
    <t>Usado para Calcular el Caudal Proyectado</t>
  </si>
  <si>
    <t>Usado para Calcular a Vazão Projetada</t>
  </si>
  <si>
    <t>Utilisé pour Calculer le Débit Projeté</t>
  </si>
  <si>
    <t>USED_FOR_CHARTS</t>
  </si>
  <si>
    <t>Usado para Gráficos</t>
  </si>
  <si>
    <t>Utilisé pour les Graphiques</t>
  </si>
  <si>
    <t>DDC_CONTROL_SIGNAL</t>
  </si>
  <si>
    <t>Señal de Control DDC</t>
  </si>
  <si>
    <t>Sinal de Controle DDC</t>
  </si>
  <si>
    <t>Signal de Contrôle DDC</t>
  </si>
  <si>
    <t>VALVE_POSITION_FLOW_BASED_ON_DDC</t>
  </si>
  <si>
    <t>Posición de Válvula y Caudal según Voltaje DDC</t>
  </si>
  <si>
    <t>Posição da Válvula e Vazão com base na Tensão DDC</t>
  </si>
  <si>
    <t>Position de la Vanne et Débit selon la Tension DDC</t>
  </si>
  <si>
    <t>VOLTAGE_WORD</t>
  </si>
  <si>
    <t>Voltaje</t>
  </si>
  <si>
    <t>Tensão</t>
  </si>
  <si>
    <t>Tension</t>
  </si>
  <si>
    <t>LINEAR_PART</t>
  </si>
  <si>
    <t>Parte Lineal</t>
  </si>
  <si>
    <t>Parte Linear</t>
  </si>
  <si>
    <t>Partie Linéaire</t>
  </si>
  <si>
    <t>EQUAL_PART</t>
  </si>
  <si>
    <t>Parte Igual</t>
  </si>
  <si>
    <t>Partie Égale</t>
  </si>
  <si>
    <t>VMAX_WORD</t>
  </si>
  <si>
    <t>DELTA_T_WORD</t>
  </si>
  <si>
    <t>ΔT</t>
  </si>
  <si>
    <t>BTUH_WORD</t>
  </si>
  <si>
    <t>LINEAR_WORD</t>
  </si>
  <si>
    <t>Lineal</t>
  </si>
  <si>
    <t>Linéaire</t>
  </si>
  <si>
    <t>EQ_PCT_SPACE</t>
  </si>
  <si>
    <t>EQ_PCT_NOSPACE</t>
  </si>
  <si>
    <t>IN_PCT</t>
  </si>
  <si>
    <t>En %</t>
  </si>
  <si>
    <t>Em %</t>
  </si>
  <si>
    <t>IN_V</t>
  </si>
  <si>
    <t>En V</t>
  </si>
  <si>
    <t>Em V</t>
  </si>
  <si>
    <t>G_MIN</t>
  </si>
  <si>
    <t>BTU_H_SLASH_LOWER</t>
  </si>
  <si>
    <t>PROJECTED_FLOW_CALCULATIONS</t>
  </si>
  <si>
    <t>Cálculos de Caudal Proyectado</t>
  </si>
  <si>
    <t>Cálculos de Vazão Projetada</t>
  </si>
  <si>
    <t>Calculs du Débit Projeté</t>
  </si>
  <si>
    <t>EXAMPLE_WORD</t>
  </si>
  <si>
    <t>Ejemplo:</t>
  </si>
  <si>
    <t>Exemplo:</t>
  </si>
  <si>
    <t>Exemple :</t>
  </si>
  <si>
    <t>HINT_REFER_TO_THE</t>
  </si>
  <si>
    <t xml:space="preserve">Sugerencia: Consulte las </t>
  </si>
  <si>
    <t xml:space="preserve">Dica: Consulte as </t>
  </si>
  <si>
    <t xml:space="preserve">Astuce : Consultez les </t>
  </si>
  <si>
    <t>BLUE_WORD</t>
  </si>
  <si>
    <t>Azul</t>
  </si>
  <si>
    <t>Bleu</t>
  </si>
  <si>
    <t>COLUMNS_WORD</t>
  </si>
  <si>
    <t>Columnas</t>
  </si>
  <si>
    <t>Colunas</t>
  </si>
  <si>
    <t>Colonnes</t>
  </si>
  <si>
    <t>ENERGY_VALVE_VMAX_PREFIX</t>
  </si>
  <si>
    <t xml:space="preserve">An Energy Valve with a V'max of </t>
  </si>
  <si>
    <t xml:space="preserve">Una Energy Valve con un V'max de </t>
  </si>
  <si>
    <t xml:space="preserve">Uma Energy Valve com um V'max de </t>
  </si>
  <si>
    <t xml:space="preserve">Une Energy Valve avec un V'max de </t>
  </si>
  <si>
    <t>AT_X_VOLTS_PREFIX</t>
  </si>
  <si>
    <t xml:space="preserve">At </t>
  </si>
  <si>
    <t xml:space="preserve">A </t>
  </si>
  <si>
    <t xml:space="preserve">À </t>
  </si>
  <si>
    <t>VOLTS_YOU_WOULD_BE_FLOWING</t>
  </si>
  <si>
    <t xml:space="preserve"> volts, you would be flowing </t>
  </si>
  <si>
    <t xml:space="preserve"> voltios, estaría fluyendo </t>
  </si>
  <si>
    <t xml:space="preserve"> volts, estaria fluindo </t>
  </si>
  <si>
    <t xml:space="preserve"> volts, vous auriez un débit de </t>
  </si>
  <si>
    <t>VALVE_OPENING_SUFFIX</t>
  </si>
  <si>
    <t xml:space="preserve"> Valve Opening</t>
  </si>
  <si>
    <t xml:space="preserve"> de Apertura de Válvula</t>
  </si>
  <si>
    <t xml:space="preserve"> de Abertura da Válvula</t>
  </si>
  <si>
    <t xml:space="preserve"> d'Ouverture de Vanne</t>
  </si>
  <si>
    <t>PRODUCING_PREFIX</t>
  </si>
  <si>
    <t xml:space="preserve">Producing </t>
  </si>
  <si>
    <t xml:space="preserve">Produciendo </t>
  </si>
  <si>
    <t xml:space="preserve">Produzindo </t>
  </si>
  <si>
    <t xml:space="preserve">Produisant </t>
  </si>
  <si>
    <t>BTUS_AT_A_MID</t>
  </si>
  <si>
    <t>DELTAT_SUFFIX</t>
  </si>
  <si>
    <t>CHART1_TITLE</t>
  </si>
  <si>
    <t>DDC to GPM to BTU/h</t>
  </si>
  <si>
    <t>DDC a GPM a BTU/h</t>
  </si>
  <si>
    <t>DDC para GPM para BTU/h</t>
  </si>
  <si>
    <t>DDC vers GPM vers BTU/h</t>
  </si>
  <si>
    <t>CHART1_XTITLE</t>
  </si>
  <si>
    <t>DDC Input Voltage</t>
  </si>
  <si>
    <t>Voltaje de Entrada DDC</t>
  </si>
  <si>
    <t>Tensão de Entrada DDC</t>
  </si>
  <si>
    <t>Tension d'Entrée DDC</t>
  </si>
  <si>
    <t>CHART_YTITLE_GPM</t>
  </si>
  <si>
    <t>GPM</t>
  </si>
  <si>
    <t>CHART2_TITLE</t>
  </si>
  <si>
    <t xml:space="preserve"> % Open to GPM</t>
  </si>
  <si>
    <t xml:space="preserve"> % Abierto a GPM</t>
  </si>
  <si>
    <t xml:space="preserve"> % Aberto a GPM</t>
  </si>
  <si>
    <t xml:space="preserve"> % Ouvert à GPM</t>
  </si>
  <si>
    <t>CHART2_XTITLE</t>
  </si>
  <si>
    <t>% of Valve Open</t>
  </si>
  <si>
    <t>% de Apertura de Válvula</t>
  </si>
  <si>
    <t>% de Abertura da Válvula</t>
  </si>
  <si>
    <t>% d'Ouverture de Vanne</t>
  </si>
  <si>
    <t>CHART5_TITLE</t>
  </si>
  <si>
    <t>DDC to GPM</t>
  </si>
  <si>
    <t>DDC a GPM</t>
  </si>
  <si>
    <t>DDC para GPM</t>
  </si>
  <si>
    <t>DDC vers GPM</t>
  </si>
  <si>
    <t>CHART5_XTITLE</t>
  </si>
  <si>
    <t>DDC Control Voltage</t>
  </si>
  <si>
    <t>Voltaje de Control DDC</t>
  </si>
  <si>
    <t>Tensão de Controle DDC</t>
  </si>
  <si>
    <t>Tension de Contrôle DDC</t>
  </si>
  <si>
    <t>CHART6_TITLE</t>
  </si>
  <si>
    <t>GPM to BTU Linear</t>
  </si>
  <si>
    <t>GPM a BTU Lineal</t>
  </si>
  <si>
    <t>GPM para BTU Linear</t>
  </si>
  <si>
    <t>GPM vers BTU Linéaire</t>
  </si>
  <si>
    <t>METRIC_PANEL_TITLE</t>
  </si>
  <si>
    <t>Metric Equivalents</t>
  </si>
  <si>
    <t>Equivalentes Métricos</t>
  </si>
  <si>
    <t>Équivalents Métriques</t>
  </si>
  <si>
    <t>METRIC_FLOW_HDR</t>
  </si>
  <si>
    <t>METRIC_HEAD_HDR</t>
  </si>
  <si>
    <t>Head [kPa]</t>
  </si>
  <si>
    <t>Altura [kPa]</t>
  </si>
  <si>
    <t>Hauteur [kPa]</t>
  </si>
  <si>
    <t>BANNER_TITLE</t>
  </si>
  <si>
    <t>Belimo Energy Valve
Coil ΔT Savings Estimator</t>
  </si>
  <si>
    <t>Belimo Energy Valve
Estimador de Ahorros ΔT de Serpentina</t>
  </si>
  <si>
    <t>Belimo Energy Valve
Estimador de Economia ΔT da Serpentina</t>
  </si>
  <si>
    <t>Belimo Energy Valve
Estimateur d'Économies ΔT de Batterie</t>
  </si>
  <si>
    <t>HOME_HDR_COIL_DESIGN</t>
  </si>
  <si>
    <t>Coil Design Input Data</t>
  </si>
  <si>
    <t>Datos de Entrada de Diseño de la Serpentina</t>
  </si>
  <si>
    <t>Dados de Entrada de Projeto da Serpentina</t>
  </si>
  <si>
    <t>Données d'Entrée de Conception de la Batterie</t>
  </si>
  <si>
    <t>HOME_HDR_OPERATING_TIME</t>
  </si>
  <si>
    <t>Operating Time Input Data</t>
  </si>
  <si>
    <t>Datos de Entrada de Tiempo de Operación</t>
  </si>
  <si>
    <t>Dados de Entrada de Tempo de Operação</t>
  </si>
  <si>
    <t>Données d'Entrée de Temps de Fonctionnement</t>
  </si>
  <si>
    <t>HOME_HDR_CLIMATE_REGION</t>
  </si>
  <si>
    <t>Climate Region Degree Day Input Data</t>
  </si>
  <si>
    <t>Datos de Entrada de Días Grado de la Región Climática</t>
  </si>
  <si>
    <t>Dados de Entrada de Graus-Dia da Região Climática</t>
  </si>
  <si>
    <t>Données d'Entrée des Degrés-Jours de la Région Climatique</t>
  </si>
  <si>
    <t>STEP_1</t>
  </si>
  <si>
    <t>Step 1</t>
  </si>
  <si>
    <t>Paso 1</t>
  </si>
  <si>
    <t>Passo 1</t>
  </si>
  <si>
    <t>Étape 1</t>
  </si>
  <si>
    <t>STEP_2</t>
  </si>
  <si>
    <t>Step 2</t>
  </si>
  <si>
    <t>Paso 2</t>
  </si>
  <si>
    <t>Passo 2</t>
  </si>
  <si>
    <t>Étape 2</t>
  </si>
  <si>
    <t>STEP_3</t>
  </si>
  <si>
    <t>Step 3</t>
  </si>
  <si>
    <t>Paso 3</t>
  </si>
  <si>
    <t>Passo 3</t>
  </si>
  <si>
    <t>Étape 3</t>
  </si>
  <si>
    <t>STEP_4</t>
  </si>
  <si>
    <t>Step 4</t>
  </si>
  <si>
    <t>Paso 4</t>
  </si>
  <si>
    <t>Passo 4</t>
  </si>
  <si>
    <t>Étape 4</t>
  </si>
  <si>
    <t>STEP1_HELP_TEXT</t>
  </si>
  <si>
    <t>STEP2_HELP_TEXT</t>
  </si>
  <si>
    <t xml:space="preserve">Enter into the boxes on the left, the:
Climate Region from the drop down box
% of Operating Time
Enter Percentages of operating time.
</t>
  </si>
  <si>
    <t xml:space="preserve">Ingrese en los recuadros de la izquierda, lo siguiente:
Región Climática del menú desplegable
% de Tiempo de Operación
Ingrese los porcentajes de tiempo de operación.
</t>
  </si>
  <si>
    <t xml:space="preserve">Insira nas caixas à esquerda, o seguinte:
Região Climática da caixa suspensa
% do Tempo de Operação
Insira as porcentagens de tempo de operação.
</t>
  </si>
  <si>
    <t xml:space="preserve">Entrez dans les cases à gauche, les :
Région Climatique dans la liste déroulante
% du Temps de Fonctionnement
Entrez les pourcentages de temps de fonctionnement.
</t>
  </si>
  <si>
    <t>STEP3_HELP_TEXT</t>
  </si>
  <si>
    <t xml:space="preserve">Verify your Climate Region or select custom and insert your own value.
</t>
  </si>
  <si>
    <t xml:space="preserve">Verifique su Región Climática o seleccione personalizado e ingrese su propio valor.
</t>
  </si>
  <si>
    <t xml:space="preserve">Verifique sua Região Climática ou selecione personalizado e insira seu próprio valor.
</t>
  </si>
  <si>
    <t xml:space="preserve">Vérifiez votre Région Climatique ou sélectionnez personnalisé et saisissez votre propre valeur.
</t>
  </si>
  <si>
    <t>STEP4_HELP_TEXT</t>
  </si>
  <si>
    <t>DISCLAIMER_HDR</t>
  </si>
  <si>
    <t>Disclaimer</t>
  </si>
  <si>
    <t>Descargo de Responsabilidad</t>
  </si>
  <si>
    <t>Isenção de Responsabilidade</t>
  </si>
  <si>
    <t>Avertissement</t>
  </si>
  <si>
    <t>DISCLAIMER_TEXT</t>
  </si>
  <si>
    <t>FEEDBACK_HDR</t>
  </si>
  <si>
    <t>Feedback</t>
  </si>
  <si>
    <t>Comentarios</t>
  </si>
  <si>
    <t>Commentaires</t>
  </si>
  <si>
    <t>FEEDBACK_TEXT</t>
  </si>
  <si>
    <t>If you would like to leave feedback on your experience of using the tool or if you have any suggestions to help make the tool even more useful, please use the QR code to the left or just click on the link below.
Energy Valve Coil Estimator Tool Feedback</t>
  </si>
  <si>
    <t>Si desea dejar comentarios sobre su experiencia al usar la herramienta o si tiene alguna sugerencia para ayudar a que la herramienta sea aún más útil, utilice el código QR a la izquierda o simplemente haga clic en el enlace de abajo.
Comentarios sobre la Herramienta Energy Valve Coil Estimator</t>
  </si>
  <si>
    <t>Se você gostaria de deixar um feedback sobre sua experiência ao usar a ferramenta ou se tiver alguma sugestão para tornar a ferramenta ainda mais útil, use o código QR à esquerda ou simplesmente clique no link abaixo.
Feedback da Ferramenta Energy Valve Coil Estimator</t>
  </si>
  <si>
    <t>Si vous souhaitez laisser un commentaire sur votre expérience d'utilisation de l'outil ou si vous avez des suggestions pour rendre l'outil encore plus utile, veuillez utiliser le code QR à gauche ou simplement cliquer sur le lien ci-dessous.
Commentaires sur l'Outil Energy Valve Coil Estimator</t>
  </si>
  <si>
    <t>PS_HDR_ENERGY_VALVE_ESTIMATOR</t>
  </si>
  <si>
    <t>Energy Valve Savings Estimator</t>
  </si>
  <si>
    <t>Estimador de Ahorros de Energy Valve</t>
  </si>
  <si>
    <t>Estimador de Economia do Energy Valve</t>
  </si>
  <si>
    <t>Estimateur d'Économies Energy Valve</t>
  </si>
  <si>
    <t>PS_HDR_COIL_DESIGN_DATA</t>
  </si>
  <si>
    <t>Coil Design Data</t>
  </si>
  <si>
    <t>Datos de Diseño de la Serpentina</t>
  </si>
  <si>
    <t>Dados de Projeto da Serpentina</t>
  </si>
  <si>
    <t>Données de Conception de la Batterie</t>
  </si>
  <si>
    <t>PS_HDR_COIL_DESIGN_PERFORMANCE</t>
  </si>
  <si>
    <t>Coil Design Performance Data</t>
  </si>
  <si>
    <t>Datos de Rendimiento de Diseño de la Serpentina</t>
  </si>
  <si>
    <t>Dados de Desempenho de Projeto da Serpentina</t>
  </si>
  <si>
    <t>Données de Performance de Conception de la Batterie</t>
  </si>
  <si>
    <t>PS_HDR_GREENHOUSE_GAS</t>
  </si>
  <si>
    <t>Greenhouse Gas Equivalents</t>
  </si>
  <si>
    <t>Equivalentes de Gases de Efecto Invernadero</t>
  </si>
  <si>
    <t>Equivalentes de Gases de Efeito Estufa</t>
  </si>
  <si>
    <t>Équivalents de Gaz à Effet de Serre</t>
  </si>
  <si>
    <t>HIDE_INFOTEXT_BTN</t>
  </si>
  <si>
    <t>Hide InfoText</t>
  </si>
  <si>
    <t>Ocultar InfoText</t>
  </si>
  <si>
    <t>Masquer InfoText</t>
  </si>
  <si>
    <t>LANGUAGE_UNIT_SELECTION_HDR</t>
  </si>
  <si>
    <t>Language &amp; Unit Selection</t>
  </si>
  <si>
    <t>Selección de Idioma y Unidades</t>
  </si>
  <si>
    <t>Seleção de Idioma e Unidades</t>
  </si>
  <si>
    <t>Sélection de la Langue et des Unités</t>
  </si>
  <si>
    <t>$</t>
  </si>
  <si>
    <t>FINANCIAL_ANALYSIS_HDR</t>
  </si>
  <si>
    <t>INVESTMENT_COST_LABEL</t>
  </si>
  <si>
    <t>Investment Cost (Energy Valve + Installation)</t>
  </si>
  <si>
    <t>Costo de Inversión (Energy Valve + Instalación)</t>
  </si>
  <si>
    <t>Custo do Investimento (Energy Valve + Instalação)</t>
  </si>
  <si>
    <t>Coût de l'Investissement (Energy Valve + Installation)</t>
  </si>
  <si>
    <t>DISCOUNT_RATE_LABEL</t>
  </si>
  <si>
    <t>Discount Rate</t>
  </si>
  <si>
    <t>Tasa de Descuento</t>
  </si>
  <si>
    <t>Taxa de Desconto</t>
  </si>
  <si>
    <t>Taux d'Actualisation</t>
  </si>
  <si>
    <t>NPV_LABEL</t>
  </si>
  <si>
    <t>Net Present Value (NPV)</t>
  </si>
  <si>
    <t>Valor Presente Neto (VPN)</t>
  </si>
  <si>
    <t>Valor Presente Líquido (VPL)</t>
  </si>
  <si>
    <t>Valeur Actuelle Nette (VAN)</t>
  </si>
  <si>
    <t>SIR_LABEL</t>
  </si>
  <si>
    <t>Savings-Investment Ratio (SIR)</t>
  </si>
  <si>
    <t>Relación Ahorro-Inversión (SIR)</t>
  </si>
  <si>
    <t>SIMPLE_PAYBACK_LABEL</t>
  </si>
  <si>
    <t>Simple Payback Period</t>
  </si>
  <si>
    <t>Período de Recuperación Simple</t>
  </si>
  <si>
    <t>Período de Retorno Simples</t>
  </si>
  <si>
    <t>Période de Récupération Simple</t>
  </si>
  <si>
    <t>YEARS_WORD</t>
  </si>
  <si>
    <t>years</t>
  </si>
  <si>
    <t>años</t>
  </si>
  <si>
    <t>anos</t>
  </si>
  <si>
    <t>ans</t>
  </si>
  <si>
    <t xml:space="preserve">Enter the estimated cost to purchase Energy Valves and the cost of installation.
</t>
  </si>
  <si>
    <t xml:space="preserve">Ingrese el costo estimado para comprar las Energy Valves y el costo de instalación.
</t>
  </si>
  <si>
    <t xml:space="preserve">Insira o custo estimado para comprar as Energy Valves e o custo de instalação.
</t>
  </si>
  <si>
    <t xml:space="preserve">Entrez le coût estimé pour acheter les Energy Valves et le coût d'installation.
</t>
  </si>
  <si>
    <t>Financial Inputs</t>
  </si>
  <si>
    <t>Entradas Financieras</t>
  </si>
  <si>
    <t>Entradas Financeiras</t>
  </si>
  <si>
    <t>Entrées Financières</t>
  </si>
  <si>
    <t>STEP_5</t>
  </si>
  <si>
    <t>Step 5</t>
  </si>
  <si>
    <t>Paso 5</t>
  </si>
  <si>
    <t>Passo 5</t>
  </si>
  <si>
    <t>Étape 5</t>
  </si>
  <si>
    <t>STEP_LANG_UNITS_HELP_TEXT</t>
  </si>
  <si>
    <t>RESULTS_HEADER</t>
  </si>
  <si>
    <t>Your Energy Valve Savings</t>
  </si>
  <si>
    <t>Sus Ahorros con Energy Valve</t>
  </si>
  <si>
    <t>Sua Economia com Energy Valve</t>
  </si>
  <si>
    <t>Vos Économies avec Energy Valve</t>
  </si>
  <si>
    <t>HEADLINE_PUMPING_COST_LABEL</t>
  </si>
  <si>
    <t>Annual Pumping Cost Savings</t>
  </si>
  <si>
    <t>Ahorro Anual en Costo de Bombeo</t>
  </si>
  <si>
    <t>Economia Anual em Custo de Bombeamento</t>
  </si>
  <si>
    <t>Économies Annuelles sur le Coût de Pompage</t>
  </si>
  <si>
    <t>HEADLINE_ENERGY_LABEL</t>
  </si>
  <si>
    <t>Annual Energy Savings</t>
  </si>
  <si>
    <t>Ahorro Anual de Energía</t>
  </si>
  <si>
    <t>Economia Anual de Energia</t>
  </si>
  <si>
    <t>Économies d'Énergie Annuelles</t>
  </si>
  <si>
    <t>HEADLINE_WATER_LABEL</t>
  </si>
  <si>
    <t>Annual Water Savings</t>
  </si>
  <si>
    <t>Ahorro Anual de Agua</t>
  </si>
  <si>
    <t>Economia Anual de Água</t>
  </si>
  <si>
    <t>Économies d'Eau Annuelles</t>
  </si>
  <si>
    <t>BEFORE_AFTER_HDR</t>
  </si>
  <si>
    <t>Before &amp; After: Changing Your Delta-T</t>
  </si>
  <si>
    <t>Antes y Después: Cambiando su Delta-T</t>
  </si>
  <si>
    <t>Antes e Depois: Alterando seu Delta-T</t>
  </si>
  <si>
    <t>Avant et Après : Changement de votre Delta-T</t>
  </si>
  <si>
    <t>ACTUAL_COL_HDR</t>
  </si>
  <si>
    <t>Actual (Before)</t>
  </si>
  <si>
    <t>Actual (Antes)</t>
  </si>
  <si>
    <t>Atual (Antes)</t>
  </si>
  <si>
    <t>Actuel (Avant)</t>
  </si>
  <si>
    <t>FUTURE_COL_HDR</t>
  </si>
  <si>
    <t>Future (After Energy Valve)</t>
  </si>
  <si>
    <t>Futuro (Después de Energy Valve)</t>
  </si>
  <si>
    <t>Futuro (Após Energy Valve)</t>
  </si>
  <si>
    <t>Futur (Après Energy Valve)</t>
  </si>
  <si>
    <t>AVG_FLOW_GPM_LABEL</t>
  </si>
  <si>
    <t>Avg Flow [GPM]</t>
  </si>
  <si>
    <t>Caudal Prom. [GPM]</t>
  </si>
  <si>
    <t>Vazão Méd. [GPM]</t>
  </si>
  <si>
    <t>Débit Moy. [GPM]</t>
  </si>
  <si>
    <t>PUMPING_COST_YEAR_LABEL</t>
  </si>
  <si>
    <t>Pumping Cost / Year</t>
  </si>
  <si>
    <t>Costo de Bombeo / Año</t>
  </si>
  <si>
    <t>Custo de Bombeamento / Ano</t>
  </si>
  <si>
    <t>Coût de Pompage / An</t>
  </si>
  <si>
    <t>ENERGY_YEAR_KWH_LABEL</t>
  </si>
  <si>
    <t>Energy / Year [kWh]</t>
  </si>
  <si>
    <t>Energía / Año [kWh]</t>
  </si>
  <si>
    <t>Energia / Ano [kWh]</t>
  </si>
  <si>
    <t>Énergie / An [kWh]</t>
  </si>
  <si>
    <t>FINANCIAL_SUMMARY_HDR</t>
  </si>
  <si>
    <t>Financial Summary</t>
  </si>
  <si>
    <t>Resumen Financiero</t>
  </si>
  <si>
    <t>Resumo Financeiro</t>
  </si>
  <si>
    <t>Résumé Financier</t>
  </si>
  <si>
    <t>UTILITY_REBATE_HDR</t>
  </si>
  <si>
    <t>Utility Rebate Support</t>
  </si>
  <si>
    <t>Soporte para Reembolso de Servicios Públicos</t>
  </si>
  <si>
    <t>Suporte para Reembolso da Concessionária</t>
  </si>
  <si>
    <t>Support pour Remise du Service Public</t>
  </si>
  <si>
    <t>UTILITY_REBATE_TEXT</t>
  </si>
  <si>
    <t>Results</t>
  </si>
  <si>
    <t>$E$12</t>
  </si>
  <si>
    <t>$E$17</t>
  </si>
  <si>
    <t>$C$43</t>
  </si>
  <si>
    <t>$C$44</t>
  </si>
  <si>
    <t>$C$45</t>
  </si>
  <si>
    <t>$C$35</t>
  </si>
  <si>
    <t>HDR_DELTA_T</t>
  </si>
  <si>
    <t>Delta-T</t>
  </si>
  <si>
    <t>HDR_AVG</t>
  </si>
  <si>
    <t>Avg</t>
  </si>
  <si>
    <t>Prom.</t>
  </si>
  <si>
    <t>Méd.</t>
  </si>
  <si>
    <t>Moy.</t>
  </si>
  <si>
    <t>HDR_AVG_FLOW</t>
  </si>
  <si>
    <t>Avg Flow</t>
  </si>
  <si>
    <t>Flujo Promedio</t>
  </si>
  <si>
    <t>Vazão Média</t>
  </si>
  <si>
    <t>Débit Moyen</t>
  </si>
  <si>
    <t>HDR_ENERGY</t>
  </si>
  <si>
    <t>Energy</t>
  </si>
  <si>
    <t>Energía</t>
  </si>
  <si>
    <t>Energia</t>
  </si>
  <si>
    <t>Énergie</t>
  </si>
  <si>
    <t>HDR_ENERGY_YEAR</t>
  </si>
  <si>
    <t>Energy / Year</t>
  </si>
  <si>
    <t>Energía / Año</t>
  </si>
  <si>
    <t>Energia / Ano</t>
  </si>
  <si>
    <t>Énergie / An</t>
  </si>
  <si>
    <t>HDR_ANNUAL</t>
  </si>
  <si>
    <t>Annual</t>
  </si>
  <si>
    <t>Anual</t>
  </si>
  <si>
    <t>Annuel</t>
  </si>
  <si>
    <t>UNIT_TONS</t>
  </si>
  <si>
    <t>tons</t>
  </si>
  <si>
    <t>toneladas</t>
  </si>
  <si>
    <t>tonnes</t>
  </si>
  <si>
    <t>UNIT_GALLONS</t>
  </si>
  <si>
    <t>gallons</t>
  </si>
  <si>
    <t>galones</t>
  </si>
  <si>
    <t>galões</t>
  </si>
  <si>
    <t>UNIT_LITERS</t>
  </si>
  <si>
    <t>liters</t>
  </si>
  <si>
    <t>litros</t>
  </si>
  <si>
    <t>litres</t>
  </si>
  <si>
    <t>UNIT_LBS</t>
  </si>
  <si>
    <t>lbs</t>
  </si>
  <si>
    <t>lb</t>
  </si>
  <si>
    <t>UNIT_HOURS</t>
  </si>
  <si>
    <t>horas</t>
  </si>
  <si>
    <t>heures</t>
  </si>
  <si>
    <t>UNIT_DAYS</t>
  </si>
  <si>
    <t>días</t>
  </si>
  <si>
    <t>dias</t>
  </si>
  <si>
    <t>jours</t>
  </si>
  <si>
    <t>UNIT_WEEKS</t>
  </si>
  <si>
    <t>semanas</t>
  </si>
  <si>
    <t>semaines</t>
  </si>
  <si>
    <t>UNIT_PCS</t>
  </si>
  <si>
    <t>uds.</t>
  </si>
  <si>
    <t>pçs.</t>
  </si>
  <si>
    <t>DT_MIN_BOUND (display units)</t>
  </si>
  <si>
    <t>DT_MAX_BOUND (display units)</t>
  </si>
  <si>
    <t>DT_GAP (display units)</t>
  </si>
  <si>
    <t>REBATE_BASIS_HDR</t>
  </si>
  <si>
    <t>Measure &amp; Operating Basis</t>
  </si>
  <si>
    <t>Medida y Base Operativa</t>
  </si>
  <si>
    <t>Medida e Base Operacional</t>
  </si>
  <si>
    <t>Mesure et Base d'Exploitation</t>
  </si>
  <si>
    <t>REBATE_BASELINE_DT</t>
  </si>
  <si>
    <t>Baseline Delta-T (before)</t>
  </si>
  <si>
    <t>Delta-T de Referencia (antes)</t>
  </si>
  <si>
    <t>Delta-T de Referência (antes)</t>
  </si>
  <si>
    <t>Delta-T de Référence (avant)</t>
  </si>
  <si>
    <t>REBATE_POST_DT</t>
  </si>
  <si>
    <t>Post-Retrofit Delta-T (after)</t>
  </si>
  <si>
    <t>Delta-T Posterior (después)</t>
  </si>
  <si>
    <t>Delta-T Posterior (depois)</t>
  </si>
  <si>
    <t>Delta-T Après Rénovation</t>
  </si>
  <si>
    <t>REBATE_NUM_COILS</t>
  </si>
  <si>
    <t>Number of Coils</t>
  </si>
  <si>
    <t>REBATE_ANNUAL_HOURS</t>
  </si>
  <si>
    <t>REBATE_ENERGY_HDR</t>
  </si>
  <si>
    <t>Energy &amp; Demand Savings</t>
  </si>
  <si>
    <t>Ahorro de Energía y Demanda</t>
  </si>
  <si>
    <t>Economia de Energia e Demanda</t>
  </si>
  <si>
    <t>Économies d'Énergie et de Puissance</t>
  </si>
  <si>
    <t>REBATE_ANNUAL_KWH</t>
  </si>
  <si>
    <t>Annual Electricity Savings</t>
  </si>
  <si>
    <t>Ahorro Anual de Electricidad</t>
  </si>
  <si>
    <t>Economia Anual de Eletricidade</t>
  </si>
  <si>
    <t>Économies Annuelles d'Électricité</t>
  </si>
  <si>
    <t>REBATE_AVG_KW</t>
  </si>
  <si>
    <t>Average Demand Reduction</t>
  </si>
  <si>
    <t>Reducción Promedio de Demanda</t>
  </si>
  <si>
    <t>Redução Média de Demanda</t>
  </si>
  <si>
    <t>Réduction Moyenne de Puissance</t>
  </si>
  <si>
    <t>REBATE_PEAK_KW</t>
  </si>
  <si>
    <t>Demand Reduction at Peak Load</t>
  </si>
  <si>
    <t>Reducción de Demanda a Carga Pico</t>
  </si>
  <si>
    <t>Redução de Demanda em Carga de Pico</t>
  </si>
  <si>
    <t>Réduction de Puissance à Charge de Pointe</t>
  </si>
  <si>
    <t>REBATE_ANNUAL_COST</t>
  </si>
  <si>
    <t>Annual Cost Savings</t>
  </si>
  <si>
    <t>Ahorro Anual de Costos</t>
  </si>
  <si>
    <t>Economia Anual de Custos</t>
  </si>
  <si>
    <t>Économies Annuelles de Coûts</t>
  </si>
  <si>
    <t>REBATE_BASELINE_KWH</t>
  </si>
  <si>
    <t>Baseline Annual Pump Energy</t>
  </si>
  <si>
    <t>Energía Anual de Bomba de Referencia</t>
  </si>
  <si>
    <t>Energia Anual da Bomba de Referência</t>
  </si>
  <si>
    <t>Énergie Annuelle de Pompe de Référence</t>
  </si>
  <si>
    <t>REBATE_POST_KWH</t>
  </si>
  <si>
    <t>Post-Retrofit Annual Pump Energy</t>
  </si>
  <si>
    <t>Energía Anual de Bomba Posterior</t>
  </si>
  <si>
    <t>Energia Anual da Bomba Posterior</t>
  </si>
  <si>
    <t>Énergie Annuelle de Pompe Après Rénovation</t>
  </si>
  <si>
    <t>REBATE_PCT_REDUCTION</t>
  </si>
  <si>
    <t>Pump Energy Reduction</t>
  </si>
  <si>
    <t>Reducción de Energía de Bomba</t>
  </si>
  <si>
    <t>Redução de Energia da Bomba</t>
  </si>
  <si>
    <t>Réduction d'Énergie de Pompe</t>
  </si>
  <si>
    <t>REBATE_LIFETIME_HDR</t>
  </si>
  <si>
    <t>Lifetime &amp; Environmental</t>
  </si>
  <si>
    <t>Vida Útil y Medio Ambiente</t>
  </si>
  <si>
    <t>Vida Útil e Meio Ambiente</t>
  </si>
  <si>
    <t>Durée de Vie et Environnement</t>
  </si>
  <si>
    <t>REBATE_MEASURE_LIFE</t>
  </si>
  <si>
    <t>Estimated Measure Life</t>
  </si>
  <si>
    <t>Vida Útil Estimada de la Medida</t>
  </si>
  <si>
    <t>Vida Útil Estimada da Medida</t>
  </si>
  <si>
    <t>Durée de Vie Estimée de la Mesure</t>
  </si>
  <si>
    <t>REBATE_LIFETIME_KWH</t>
  </si>
  <si>
    <t>Lifetime Electricity Savings</t>
  </si>
  <si>
    <t>Ahorro de Electricidad en Vida Útil</t>
  </si>
  <si>
    <t>Economia de Eletricidade na Vida Útil</t>
  </si>
  <si>
    <t>Économies d'Électricité sur la Durée de Vie</t>
  </si>
  <si>
    <t>REBATE_WATER</t>
  </si>
  <si>
    <t>Annual Water Volume Reduction</t>
  </si>
  <si>
    <t>Reducción Anual de Volumen de Agua</t>
  </si>
  <si>
    <t>Redução Anual do Volume de Água</t>
  </si>
  <si>
    <t>Réduction Annuelle du Volume d'Eau</t>
  </si>
  <si>
    <t>UNIT_KW_LABEL</t>
  </si>
  <si>
    <t>kW</t>
  </si>
  <si>
    <t>Savings are calculated from pump affinity laws applied to the coil's load profile across the operating year. Baseline and post-retrofit pump energy are computed at the Actual and Future Delta-T respectively, using the site's own operating hours, pump head, motor/VFD efficiency and electricity rate entered on the Home sheet. Demand reduction at peak load is the difference in maximum pump input power between the two cases; average demand reduction is annual energy saved divided by annual operating hours. These figures are suitable for submission to utility rebate and incentive programs.</t>
  </si>
  <si>
    <t>Los ahorros se calculan a partir de las leyes de afinidad de bombas aplicadas al perfil de carga de la serpentina durante el año de operación. La energía de bomba de referencia y posterior se calculan con el Delta-T Actual y Futuro respectivamente, usando las horas de operación, la altura de bomba, la eficiencia del motor/VFD y la tarifa eléctrica ingresadas en la hoja Inicio. La reducción de demanda a carga pico es la diferencia de potencia máxima de entrada entre ambos casos; la reducción promedio es la energía anual ahorrada dividida entre las horas anuales. Estas cifras son adecuadas para programas de incentivos de servicios públicos.</t>
  </si>
  <si>
    <t>As economias são calculadas a partir das leis de afinidade de bombas aplicadas ao perfil de carga da serpentina ao longo do ano de operação. A energia da bomba de referência e posterior são calculadas com o Delta-T Atual e Futuro respectivamente, usando as horas de operação, a altura manométrica, a eficiência do motor/VFD e a tarifa elétrica inseridas na planilha Início. A redução de demanda em carga de pico é a diferença de potência máxima de entrada entre os dois casos; a redução média é a energia anual economizada dividida pelas horas anuais. Estes valores são adequados para programas de incentivo de concessionárias.</t>
  </si>
  <si>
    <t>Les économies sont calculées à partir des lois de similitude des pompes appliquées au profil de charge de la batterie sur l'année d'exploitation. L'énergie de pompe de référence et après rénovation est calculée aux Delta-T Actuel et Futur respectivement, en utilisant les heures de fonctionnement, la hauteur manométrique, le rendement moteur/VFD et le tarif électrique saisis sur la feuille Accueil. La réduction de puissance à charge de pointe est la différence de puissance absorbée maximale entre les deux cas; la réduction moyenne est l'énergie annuelle économisée divisée par les heures annuelles. Ces valeurs conviennent aux programmes d'incitation des services publics.</t>
  </si>
  <si>
    <t>delta-T -&gt; peak pump kW (MAX(HP)*0.746)</t>
  </si>
  <si>
    <t>$I$63</t>
  </si>
  <si>
    <t>TASA DE DESCUENTO
El dinero que ahorre dentro de varios años vale menos que el dinero ahorrado hoy, porque el efectivo disponible podría estar generando intereses mientras tanto. La tasa de descuento indica cuánto menos. Al 4%, un dólar ahorrado dentro de 10 años equivale a unos 68 centavos de hoy.
Use el costo de financiamiento de su organización o su rentabilidad exigida. Del 3% al 6% es habitual en proyectos públicos y de servicios públicos, y más alto en inversión privada. Una tasa más alta reduce el peso de los ahorros futuros, por lo que el proyecto parece menos atractivo.</t>
  </si>
  <si>
    <t>TAXA DE DESCONTO
O dinheiro que você economizar daqui a alguns anos vale menos do que o economizado hoje, porque o dinheiro em caixa poderia estar rendendo juros nesse meio-tempo. A taxa de desconto indica quanto menos. A 4%, um dólar economizado daqui a 10 anos equivale a cerca de 68 centavos de hoje.
Use o custo de captação da sua organização ou o retorno exigido. De 3% a 6% é comum em projetos públicos e de concessionárias, e mais alto em investimento privado. Uma taxa maior reduz o peso das economias futuras, fazendo o projeto parecer menos atrativo.</t>
  </si>
  <si>
    <t>TAUX D'ACTUALISATION
L'argent économisé dans plusieurs années vaut moins que l'argent économisé aujourd'hui, car les liquidités disponibles pourraient produire des intérêts entre-temps. Le taux d'actualisation mesure cet écart. À 4 %, un dollar économisé dans 10 ans équivaut à environ 68 cents d'aujourd'hui.
Utilisez le coût d'emprunt de votre organisation ou son taux de rendement exigé. 3 à 6 % est courant pour les projets publics et les programmes de services publics, davantage pour l'investissement privé. Un taux plus élevé réduit le poids des économies futures et rend donc le projet moins attractif.</t>
  </si>
  <si>
    <t>$I$66</t>
  </si>
  <si>
    <t>NET PRESENT VALUE (NPV)
NPV adds up the energy savings over the chosen period, shrinks each year's savings to what it is worth in today's money using the discount rate, then subtracts what you paid up front.
Positive means the project has more than paid for itself by that point. Negative means it has not yet. This tool shows NPV at 5, 10, 15 and 20 years - so if it is negative at 5 years but positive at 15, the project turns profitable somewhere in between. When comparing options, higher is better.</t>
  </si>
  <si>
    <t>VALOR PRESENTE LÍQUIDO (VPL)
O VPL soma as economias de energia do período escolhido, reduz as economias de cada ano ao que valem em dinheiro de hoje usando a taxa de desconto e depois subtrai o investimento inicial.
Positivo significa que o projeto já se pagou com folga naquele momento. Negativo, que ainda não. Esta ferramenta mostra o VPL em 5, 10, 15 e 20 anos: se for negativo em 5 anos e positivo em 15, o projeto se torna rentável em algum ponto intermediário. Ao comparar opções, quanto maior, melhor.</t>
  </si>
  <si>
    <t>VALEUR ACTUELLE NETTE (VAN)
La VAN additionne les économies d'énergie sur la période choisie, ramène les économies de chaque année à leur valeur en argent d'aujourd'hui à l'aide du taux d'actualisation, puis soustrait l'investissement initial.
Une valeur positive signifie que le projet est plus que rentabilisé à cette échéance. Négative, qu'il ne l'est pas encore. Cet outil affiche la VAN à 5, 10, 15 et 20 ans : si elle est négative à 5 ans et positive à 15 ans, le projet devient rentable entre les deux. Pour comparer des options, plus c'est élevé, mieux c'est.</t>
  </si>
  <si>
    <t>$I$67</t>
  </si>
  <si>
    <t>RELACIÓN AHORRO-INVERSIÓN (SIR)
La relación ahorro-inversión es el mismo ahorro descontado dividido entre el costo inicial. Responde: por cada dólar que invierto, ¿cuántos dólares recupero?
Por encima de 1,0 recupera más de lo que invirtió. Por debajo de 1,0, no. Una relación de 1,5 significa que cada dólar invertido devuelve alrededor de 1,50 dólares en dinero de hoy.
Muchos programas de incentivos y de financiamiento público exigen al menos 1,0 y, al ser una relación, permite comparar proyectos de tamaños muy distintos.</t>
  </si>
  <si>
    <t>RELAÇÃO ECONOMIA-INVESTIMENTO (SIR)
A relação economia-investimento é a mesma economia descontada dividida pelo custo inicial. Ela responde: para cada real investido, quanto retorna?
Acima de 1,0 você recebe de volta mais do que investiu. Abaixo de 1,0, não. Uma relação de 1,5 significa que cada 1 investido retorna cerca de 1,50 em dinheiro de hoje.
Muitos programas de incentivo e de financiamento público exigem pelo menos 1,0 e, por ser uma relação, permite comparar projetos de tamanhos bem diferentes.</t>
  </si>
  <si>
    <t>RAPPORT ÉCONOMIES-INVESTISSEMENT (SIR)
Le rapport économies-investissement correspond à ces mêmes économies actualisées divisées par le coût initial. Il répond à la question : pour chaque euro dépensé, combien est-ce que je récupère ?
Au-dessus de 1,0, vous récupérez plus que votre mise. En dessous de 1,0, non. Un rapport de 1,5 signifie que chaque euro investi rapporte environ 1,50 en argent d'aujourd'hui.
De nombreux programmes d'incitation et de financement public exigent au moins 1,0 et, comme il s'agit d'un rapport, il permet de comparer des projets de tailles très différentes.</t>
  </si>
  <si>
    <t>Flow</t>
  </si>
  <si>
    <t>Caudal</t>
  </si>
  <si>
    <t>Vazão</t>
  </si>
  <si>
    <t>Débit</t>
  </si>
  <si>
    <t>In</t>
  </si>
  <si>
    <t>En</t>
  </si>
  <si>
    <t>Em</t>
  </si>
  <si>
    <t>Head</t>
  </si>
  <si>
    <t>Altura</t>
  </si>
  <si>
    <t>Hauteur</t>
  </si>
  <si>
    <t>Power</t>
  </si>
  <si>
    <t>Potencia</t>
  </si>
  <si>
    <t>Potência</t>
  </si>
  <si>
    <t>Puissance</t>
  </si>
  <si>
    <t>Pumped</t>
  </si>
  <si>
    <t>Bombeado</t>
  </si>
  <si>
    <t>Pompé</t>
  </si>
  <si>
    <t>Chilled Water Coil Flows at different Delta T</t>
  </si>
  <si>
    <t>Caudales de la Serpentina de Agua Fría a Diferentes Delta T</t>
  </si>
  <si>
    <t>Vazões da Serpentina de Água Gelada em Diferentes Delta T</t>
  </si>
  <si>
    <t>Débits de la Batterie d'Eau Glacée à Différents Delta T</t>
  </si>
  <si>
    <t>Chilled Water Coil Flow at Delta T</t>
  </si>
  <si>
    <t>US</t>
  </si>
  <si>
    <t>6.2..25 lpm</t>
  </si>
  <si>
    <t>10.2..41.6 lpm</t>
  </si>
  <si>
    <t>17..68.9 lpm</t>
  </si>
  <si>
    <t>26.9..107.9 lpm</t>
  </si>
  <si>
    <t>41.6..166.6 lpm</t>
  </si>
  <si>
    <t>62.5..249.8 lpm</t>
  </si>
  <si>
    <t>94.6..378.5 lpm</t>
  </si>
  <si>
    <t>143.8..480.7 lpm</t>
  </si>
  <si>
    <t>204.4..681.4 lpm</t>
  </si>
  <si>
    <t>359.6..1200 lpm</t>
  </si>
  <si>
    <t>564..1873.8 lpm</t>
  </si>
  <si>
    <t>810.1..2699 lpm</t>
  </si>
  <si>
    <t>Design Chilled Water Coil</t>
  </si>
  <si>
    <t>DT_SNAP_TITLE</t>
  </si>
  <si>
    <t>Delta T adjusted</t>
  </si>
  <si>
    <t>Delta T ajustado</t>
  </si>
  <si>
    <t>Delta T ajusté</t>
  </si>
  <si>
    <t>DT_SNAP_MSG</t>
  </si>
  <si>
    <t>The results compare six fixed Delta T scenarios: |LIST|. Your entries were adjusted to the nearest valid values:</t>
  </si>
  <si>
    <t>Los resultados comparan seis escenarios fijos de Delta T: |LIST|. Sus valores se ajustaron a los valores válidos más cercanos:</t>
  </si>
  <si>
    <t>Os resultados comparam seis cenários fixos de Delta T: |LIST|. Os valores inseridos foram ajustados para os valores válidos mais próximos:</t>
  </si>
  <si>
    <t>Les résultats comparent six scénarios de Delta T fixes : |LIST|. Vos valeurs ont été ajustées aux valeurs valides les plus proches :</t>
  </si>
  <si>
    <t>Additional</t>
  </si>
  <si>
    <t>$E$10</t>
  </si>
  <si>
    <t>Average price you pay for electricity, in $ per kWh. It converts every kWh in the tool into dollars, so all pumping costs, savings, NPV and payback scale with it.
Where to find it: total charges on the electric bill divided by the total kWh for the same period (a blended rate that includes demand charges and fees). Commercial rates commonly fall between $0.08 and $0.20 per kWh.
It changes the dollar figures only - the energy (kWh) results do not depend on it.</t>
  </si>
  <si>
    <t>Precio medio que paga por la electricidad, en $ por kWh. Convierte cada kWh de la herramienta en dólares, por lo que todos los costos de bombeo, los ahorros, el VPN y la recuperación dependen de él.
Dónde obtenerlo: el total facturado en la factura eléctrica dividido entre el total de kWh del mismo período (una tarifa combinada que incluye cargos por demanda y otros cargos). Las tarifas comerciales suelen estar entre $0.08 y $0.20 por kWh.
Solo cambia las cifras en dinero: los resultados de energía (kWh) no dependen de él.</t>
  </si>
  <si>
    <t>Preço médio que você paga pela eletricidade, em $ por kWh. Ele converte cada kWh da ferramenta em dinheiro, portanto todos os custos de bombeamento, as economias, o VPL e o retorno dependem dele.
Onde encontrar: o total cobrado na conta de energia dividido pelo total de kWh do mesmo período (uma tarifa combinada que inclui demanda e taxas). As tarifas comerciais costumam ficar entre $0.08 e $0.20 por kWh.
Altera apenas os valores em dinheiro - os resultados de energia (kWh) não dependem dele.</t>
  </si>
  <si>
    <t>Prix moyen que vous payez l'électricité, en $ par kWh. Il convertit chaque kWh de l'outil en dollars : les coûts de pompage, les économies, la VAN et la récupération en dépendent.
Où le trouver : le total de la facture d'électricité divisé par le total des kWh de la même période (un tarif combiné qui inclut la puissance appelée et les frais). Les tarifs commerciaux se situent souvent entre $0.08 et $0.20 par kWh.
Il ne modifie que les montants en dollars - les résultats d'énergie (kWh) n'en dépendent pas.</t>
  </si>
  <si>
    <t>$E$11</t>
  </si>
  <si>
    <t>The coil's full-load chilled-water flow (V'max), in GPM (LPM in Metric): the flow the coil and its Energy Valve are selected to pass at 100% load.
Everything is built from it: the flow at each part load, the coil capacity (flow x Design Delta T x 500 = BTU/h) and the Energy Valve model shown on Pump Savings.
Where to find it: the coil schedule or the valve submittal (design GPM).</t>
  </si>
  <si>
    <t>El caudal de agua helada de la serpentina a plena carga (V'max), en GPM (LPM en Métrico): el caudal que la serpentina y su Energy Valve están seleccionadas para pasar al 100% de carga.
Todo se calcula a partir de él: el caudal a cada carga parcial, la capacidad de la serpentina (caudal x Delta T de Diseño x 500 = BTU/h) y el modelo de Energy Valve que se muestra en Pump Savings.
Dónde obtenerlo: el cuadro de serpentinas o la hoja de submittal de la válvula (GPM de diseño).</t>
  </si>
  <si>
    <t>A vazão de água gelada da serpentina a plena carga (V'max), em GPM (LPM em Métrico): a vazão que a serpentina e sua Energy Valve são selecionadas para passar a 100% de carga.
Tudo é calculado a partir dela: a vazão em cada carga parcial, a capacidade da serpentina (vazão x Delta T de Projeto x 500 = BTU/h) e o modelo de Energy Valve mostrado em Pump Savings.
Onde encontrar: a planilha de serpentinas ou o submittal da válvula (GPM de projeto).</t>
  </si>
  <si>
    <t>Le débit d'eau glacée de la batterie à pleine charge (V'max), en GPM (LPM en Métrique) : le débit que la batterie et son Energy Valve sont choisies pour faire passer à 100 % de charge.
Tout en découle : le débit à chaque charge partielle, la puissance de la batterie (débit x Delta T de Conception x 500 = BTU/h) et le modèle d'Energy Valve affiché dans Pump Savings.
Où le trouver : le tableau des batteries ou la fiche de soumission de la vanne (GPM de conception).</t>
  </si>
  <si>
    <t>$E$13</t>
  </si>
  <si>
    <t>Hours per day the coil is in service, meaning chilled water is flowing to it. Use 24 for a coil that runs continuously, or the occupied schedule (for example 10 to 14 hours) for a coil that is shut off at night.
Operating Hours / Day x Operating Days / Week x Operating Weeks / Year, adjusted by the Climate Region multiplier, gives the Annual Operating Hours the whole estimate is built on.</t>
  </si>
  <si>
    <t>Horas por día en que la serpentina está en servicio, es decir, que le llega agua helada. Use 24 para una serpentina que funciona de forma continua, o el horario de ocupación (por ejemplo, 10 a 14 horas) para una que se apaga por la noche.
Horas de Operación / Día x Días de Operación / Semana x Semanas de Operación / Año, ajustadas por el multiplicador de la Región Climática, dan las Horas de Operación Anuales en que se basa toda la estimación.</t>
  </si>
  <si>
    <t>Horas por dia em que a serpentina está em serviço, ou seja, recebendo água gelada. Use 24 para uma serpentina que funciona continuamente, ou o horário de ocupação (por exemplo, 10 a 14 horas) para uma que é desligada à noite.
Horas de Operação / Dia x Dias de Operação / Semana x Semanas de Operação / Ano, ajustadas pelo multiplicador da Região Climática, resultam nas Horas de Operação Anuais em que toda a estimativa se baseia.</t>
  </si>
  <si>
    <t>Nombre d'heures par jour où la batterie est en service, c'est-à-dire alimentée en eau glacée. Utilisez 24 pour une batterie qui fonctionne en continu, ou l'horaire d'occupation (par exemple 10 à 14 heures) pour une batterie arrêtée la nuit.
Heures de Fonctionnement / Jour x Jours de Fonctionnement / Semaine x Semaines de Fonctionnement / An, ajustées par le multiplicateur de la Région Climatique, donnent les Heures de Fonctionnement Annuelles sur lesquelles toute l'estimation repose.</t>
  </si>
  <si>
    <t>$E$14</t>
  </si>
  <si>
    <t>Days per week the coil operates. Use 7 for continuous operation or 5 for weekdays only.
It is multiplied with Operating Hours / Day and Operating Weeks / Year (and then the Climate Region multiplier) to give the Annual Operating Hours.</t>
  </si>
  <si>
    <t>Días por semana en que funciona la serpentina. Use 7 para operación continua o 5 solo para días laborables.
Se multiplica por las Horas de Operación / Día y las Semanas de Operación / Año (y luego por el multiplicador de la Región Climática) para obtener las Horas de Operación Anuales.</t>
  </si>
  <si>
    <t>Dias por semana em que a serpentina funciona. Use 7 para operação contínua ou 5 apenas para dias úteis.
É multiplicado pelas Horas de Operação / Dia e pelas Semanas de Operação / Ano (e depois pelo multiplicador da Região Climática) para obter as Horas de Operação Anuais.</t>
  </si>
  <si>
    <t>Nombre de jours par semaine où la batterie fonctionne. Utilisez 7 pour un fonctionnement continu ou 5 pour les jours ouvrables seulement.
Il est multiplié par les Heures de Fonctionnement / Jour et les Semaines de Fonctionnement / An (puis par le multiplicateur de la Région Climatique) pour obtenir les Heures de Fonctionnement Annuelles.</t>
  </si>
  <si>
    <t>$E$15</t>
  </si>
  <si>
    <t>Weeks per year the coil operates. 52 means all year; use fewer weeks if the coil only runs for part of the year.
The Climate Region multiplier is applied on top of this, so use the weeks for the building's own schedule and leave the climate to the multiplier.</t>
  </si>
  <si>
    <t>Semanas por año en que funciona la serpentina. 52 significa todo el año; use menos semanas si la serpentina solo funciona parte del año.
El multiplicador de la Región Climática se aplica además de esto, así que use las semanas para el horario propio del edificio y deje el clima al multiplicador.</t>
  </si>
  <si>
    <t>Semanas por ano em que a serpentina funciona. 52 significa o ano todo; use menos semanas se a serpentina só funciona parte do ano.
O multiplicador da Região Climática é aplicado além disso, então use as semanas para o horário próprio do edifício e deixe o clima para o multiplicador.</t>
  </si>
  <si>
    <t>Nombre de semaines par an où la batterie fonctionne. 52 signifie toute l'année ; utilisez moins de semaines si la batterie ne fonctionne qu'une partie de l'année.
Le multiplicateur de la Région Climatique s'applique en plus ; utilisez donc les semaines pour l'horaire propre au bâtiment et laissez le climat au multiplicateur.</t>
  </si>
  <si>
    <t>$E$16</t>
  </si>
  <si>
    <t>$E$18</t>
  </si>
  <si>
    <t>The chilled-water temperature rise across the coil at full load (return minus supply), for example 12 °F (a 6.7 °C rise in Metric). It is the Delta T the coil was designed for.
With the Design Coil Load it fixes the coil's capacity: flow x Delta T x 500 = BTU/h. The Delta T scenarios on Pump Savings must deliver this same load.
Where to find it: the coil schedule (leaving minus entering water temperature).</t>
  </si>
  <si>
    <t>El aumento de temperatura del agua helada a través de la serpentina a plena carga (retorno menos suministro), por ejemplo 12 °F (6.7 °C en Métrico). Es el Delta T para el que se diseñó la serpentina.
Junto con la Carga de Diseño de la Serpentina fija su capacidad: caudal x Delta T x 500 = BTU/h. Los escenarios de Delta T de Pump Savings deben entregar esta misma carga.
Dónde obtenerlo: el cuadro de serpentinas (temperatura del agua de salida menos la de entrada).</t>
  </si>
  <si>
    <t>O aumento de temperatura da água gelada através da serpentina a plena carga (retorno menos suprimento), por exemplo 12 °F (6.7 °C em Métrico). É o Delta T para o qual a serpentina foi projetada.
Junto com a Carga de Projeto da Serpentina, fixa sua capacidade: vazão x Delta T x 500 = BTU/h. Os cenários de Delta T em Pump Savings devem entregar esta mesma carga.
Onde encontrar: a planilha de serpentinas (temperatura da água na saída menos a da entrada).</t>
  </si>
  <si>
    <t>L'élévation de température de l'eau glacée à travers la batterie à pleine charge (retour moins départ), par exemple 12 °F (6.7 °C en Métrique). C'est le Delta T pour lequel la batterie a été conçue.
Avec la Charge de Conception de la Batterie, il fixe sa puissance : débit x Delta T x 500 = BTU/h. Les scénarios de Delta T de Pump Savings doivent fournir cette même charge.
Où le trouver : le tableau des batteries (température de l'eau en sortie moins celle en entrée).</t>
  </si>
  <si>
    <t>$E$19</t>
  </si>
  <si>
    <t>The Delta T the coil delivers today, before the Energy Valve. Coils often run below their design Delta T (low Delta T), so the pumps move more water than the load needs.
Where to find it: trended data - the return minus supply water temperature at the coil, averaged over normal operation.
The results compare six Delta T scenarios, 4 to 14 °F in 2 °F steps. Actual is set to the nearest step between 4 and 12 °F, and you are told when that happens.</t>
  </si>
  <si>
    <t>El Delta T que entrega hoy la serpentina, antes de la Energy Valve. Las serpentinas suelen funcionar por debajo de su Delta T de diseño (Delta T bajo), por lo que las bombas mueven más agua de la que necesita la carga.
Dónde obtenerlo: datos de tendencia - la temperatura del agua de retorno menos la de suministro en la serpentina, promediada durante la operación normal.
Los resultados comparan seis escenarios de Delta T, de 4 a 14 °F en pasos de 2 °F. El valor Real se ajusta al paso más cercano entre 4 y 12 °F, y se le avisa cuando ocurre.</t>
  </si>
  <si>
    <t>O Delta T que a serpentina entrega hoje, antes da Energy Valve. As serpentinas costumam operar abaixo do Delta T de projeto (Delta T baixo), então as bombas movem mais água do que a carga precisa.
Onde encontrar: dados de tendência - a temperatura da água de retorno menos a de suprimento na serpentina, com média durante a operação normal.
Os resultados comparam seis cenários de Delta T, de 4 a 14 °F em passos de 2 °F. O valor Real é ajustado ao passo mais próximo entre 4 e 12 °F, e você é avisado quando isso acontece.</t>
  </si>
  <si>
    <t>Le Delta T que la batterie fournit aujourd'hui, avant l'Energy Valve. Les batteries fonctionnent souvent sous leur Delta T de conception (Delta T faible), si bien que les pompes déplacent plus d'eau que la charge n'en demande.
Où le trouver : les données de tendance - la température de l'eau de retour moins celle de départ à la batterie, en moyenne en fonctionnement normal.
Les résultats comparent six scénarios de Delta T, de 4 à 14 °F par pas de 2 °F. La valeur Réelle est ramenée au pas le plus proche entre 4 et 12 °F, et vous en êtes informé.</t>
  </si>
  <si>
    <t>$E$20</t>
  </si>
  <si>
    <t>The Delta T you expect once the Energy Valve is installed. Its Delta T Manager holds the coil at the setting, so this is usually the Design Delta T, or the Delta T you plan to set. The bigger the gap from Actual, the larger the pumping savings.
Future is set to the nearest 2 °F step between 6 and 14 °F, and is kept at least 2 °F above Actual.</t>
  </si>
  <si>
    <t>El Delta T que espera una vez instalada la Energy Valve. Su Gestor de Delta T mantiene la serpentina en el valor configurado, por lo que normalmente es el Delta T de Diseño o el que planea configurar. Cuanto mayor sea la diferencia con el valor Real, mayores serán los ahorros de bombeo.
El valor Futuro se ajusta al paso de 2 °F más cercano entre 6 y 14 °F, y se mantiene al menos 2 °F por encima del Real.</t>
  </si>
  <si>
    <t>O Delta T que você espera depois de instalada a Energy Valve. Seu Gerenciador de Delta T mantém a serpentina no valor configurado, então normalmente é o Delta T de Projeto ou o que você pretende configurar. Quanto maior a diferença em relação ao valor Real, maior a economia de bombeamento.
O valor Futuro é ajustado ao passo de 2 °F mais próximo entre 6 e 14 °F, e é mantido pelo menos 2 °F acima do Real.</t>
  </si>
  <si>
    <t>Le Delta T que vous attendez une fois l'Energy Valve installée. Son Gestionnaire de Delta T maintient la batterie au réglage choisi ; c'est donc généralement le Delta T de Conception, ou celui que vous prévoyez de régler. Plus l'écart avec la valeur Réelle est grand, plus les économies de pompage sont importantes.
La valeur Future est ramenée au pas de 2 °F le plus proche entre 6 et 14 °F, et reste au moins 2 °F au-dessus de la valeur Réelle.</t>
  </si>
  <si>
    <t>$F$29</t>
  </si>
  <si>
    <t>$F$30</t>
  </si>
  <si>
    <t>Pick the region closest to the building, or Custom Region to enter your own cooling degree days and humidity adjustment. The tool scales the Annual Operating Hours by that region's multiplier: more cooling degree days, and more humidity, mean more hours of cooling load.
The map on the right shows the US standard regions. The multiplier is calculated in the table below and shown as the Selected Value.</t>
  </si>
  <si>
    <t>Elija la región más cercana al edificio, o Región Personalizada para ingresar sus propios días grado de enfriamiento y ajuste de humedad. La herramienta escala las Horas de Operación Anuales con el multiplicador de esa región: más días grado de enfriamiento, y más humedad, significan más horas de carga de enfriamiento.
El mapa de la derecha muestra las regiones estándar de EE.UU. El multiplicador se calcula en la tabla de abajo y se muestra como Valor Seleccionado.</t>
  </si>
  <si>
    <t>Escolha a região mais próxima do edifício, ou Região Personalizada para informar seus próprios graus-dia de resfriamento e ajuste de umidade. A ferramenta escala as Horas de Operação Anuais com o multiplicador dessa região: mais graus-dia de resfriamento, e mais umidade, significam mais horas de carga de resfriamento.
O mapa à direita mostra as regiões padrão dos EUA. O multiplicador é calculado na tabela abaixo e mostrado como Valor Selecionado.</t>
  </si>
  <si>
    <t>Choisissez la région la plus proche du bâtiment, ou Région Personnalisée pour saisir vos propres degrés-jours de refroidissement et votre ajustement d'humidité. L'outil met à l'échelle les Heures de Fonctionnement Annuelles avec le multiplicateur de cette région : plus de degrés-jours de refroidissement, et plus d'humidité, signifient plus d'heures de charge de refroidissement.
La carte à droite montre les régions standard des É.-U. Le multiplicateur est calculé dans le tableau ci-dessous et affiché comme Valeur Sélectionnée.</t>
  </si>
  <si>
    <t>$G$32</t>
  </si>
  <si>
    <t>How the year's operating hours are split across four load points: A Design (100% load), B Peak (75%), C Low (50%) and D Min (25%).
Enter the % of operating time for points A, B and C; D takes the remainder so the total is always 100%. The load % sets the coil flow at each point, which drives the pump power and energy.
Most coils spend little time at design load - put the time where the building really runs.</t>
  </si>
  <si>
    <t>Cómo se reparten las horas de operación del año entre cuatro puntos de carga: A Diseño (100% de carga), B Pico (75%), C Bajo (50%) y D Mín (25%).
Ingrese el % del tiempo de operación de los puntos A, B y C; D toma el resto, de modo que el total siempre sea 100%. El % de carga determina el caudal de la serpentina en cada punto, que a su vez determina la potencia y la energía de la bomba.
La mayoría de las serpentinas pasa poco tiempo a carga de diseño: asigne el tiempo donde el edificio realmente funciona.</t>
  </si>
  <si>
    <t>Como as horas de operação do ano são divididas entre quatro pontos de carga: A Projeto (100% de carga), B Pico (75%), C Baixo (50%) e D Mín (25%).
Informe o % do tempo de operação dos pontos A, B e C; D recebe o restante, de modo que o total seja sempre 100%. O % de carga determina a vazão da serpentina em cada ponto, que por sua vez determina a potência e a energia da bomba.
A maioria das serpentinas passa pouco tempo na carga de projeto: atribua o tempo onde o edifício realmente funciona.</t>
  </si>
  <si>
    <t>La répartition des heures de fonctionnement de l'année entre quatre points de charge : A Conception (100 % de charge), B Pointe (75 %), C Bas (50 %) et D Min (25 %).
Saisissez le % du temps de fonctionnement des points A, B et C ; D reçoit le reste, de sorte que le total fasse toujours 100 %. Le % de charge fixe le débit de la batterie à chaque point, qui détermine la puissance et l'énergie de la pompe.
La plupart des batteries passent peu de temps à la charge de conception : placez le temps là où le bâtiment fonctionne réellement.</t>
  </si>
  <si>
    <t>$E$42</t>
  </si>
  <si>
    <t>A measure of how much cooling a region needs: the yearly sum of how far each day's average temperature is above a base temperature (usually 65 °F, or 18 °C).
More cooling degree days means more hours of cooling. The values shown are regional averages; only the Custom Region row can be edited. For your own location, NOAA and other weather services publish cooling degree days by station.</t>
  </si>
  <si>
    <t>Una medida de cuánto enfriamiento necesita una región: la suma anual de cuánto supera la temperatura media de cada día a una temperatura base (normalmente 65 °F, o 18 °C).
Más días grado de enfriamiento significa más horas de enfriamiento. Los valores mostrados son promedios regionales; solo se puede editar la fila de Región Personalizada. Para su ubicación, NOAA y otros servicios meteorológicos publican los días grado de enfriamiento por estación.</t>
  </si>
  <si>
    <t>Uma medida de quanto resfriamento uma região precisa: a soma anual de quanto a temperatura média de cada dia supera uma temperatura base (normalmente 65 °F, ou 18 °C).
Mais graus-dia de resfriamento significa mais horas de resfriamento. Os valores mostrados são médias regionais; somente a linha de Região Personalizada pode ser editada. Para o seu local, a NOAA e outros serviços meteorológicos publicam os graus-dia de resfriamento por estação.</t>
  </si>
  <si>
    <t>Une mesure du refroidissement dont une région a besoin : la somme annuelle des écarts entre la température moyenne de chaque jour et une température de base (généralement 65 °F, soit 18 °C), lorsqu'elle est supérieure.
Plus de degrés-jours de refroidissement signifie plus d'heures de refroidissement. Les valeurs affichées sont des moyennes régionales ; seule la ligne Région Personnalisée est modifiable. Pour votre localité, la NOAA et d'autres services météorologiques publient les degrés-jours de refroidissement par station.</t>
  </si>
  <si>
    <t>$F$42</t>
  </si>
  <si>
    <t>A percentage added to a region's cooling degree days to account for humidity: humid climates need more hours of cooling than the temperature alone suggests. The regional values run from 0% (dry) to 30% (very humid).
It is part of the multiplier: multiplier = region cooling degree days / average of the regions x (1 + humidity adjustment). Only the Custom Region row can be edited.</t>
  </si>
  <si>
    <t>Un porcentaje que se suma a los días grado de enfriamiento de una región para tener en cuenta la humedad: los climas húmedos necesitan más horas de enfriamiento de lo que sugiere solo la temperatura. Los valores regionales van del 0% (seco) al 30% (muy húmedo).
Forma parte del multiplicador: multiplicador = días grado de enfriamiento de la región / promedio de las regiones x (1 + ajuste de humedad). Solo se puede editar la fila de Región Personalizada.</t>
  </si>
  <si>
    <t>Uma porcentagem somada aos graus-dia de resfriamento de uma região para considerar a umidade: climas úmidos precisam de mais horas de resfriamento do que a temperatura sozinha sugere. Os valores regionais vão de 0% (seco) a 30% (muito úmido).
Faz parte do multiplicador: multiplicador = graus-dia de resfriamento da região / média das regiões x (1 + ajuste de umidade). Somente a linha de Região Personalizada pode ser editada.</t>
  </si>
  <si>
    <t>Un pourcentage ajouté aux degrés-jours de refroidissement d'une région pour tenir compte de l'humidité : les climats humides demandent plus d'heures de refroidissement que la température seule ne le laisse penser. Les valeurs régionales vont de 0 % (sec) à 30 % (très humide).
Il fait partie du multiplicateur : multiplicateur = degrés-jours de refroidissement de la région / moyenne des régions x (1 + ajustement d'humidité). Seule la ligne Région Personnalisée est modifiable.</t>
  </si>
  <si>
    <t>$H$42</t>
  </si>
  <si>
    <t>$D$53</t>
  </si>
  <si>
    <t>Choose Custom Region in the Climate Region box to use this row. Enter your own Cooling Degree Days and Humidity Adjustment in the white cells; the multiplier is calculated for you.
Where to find it: cooling degree days (base 65 °F) for your location from NOAA or another weather-data source. Use 0% to 30% for humidity: about 5% for a dry climate, 30% for a very humid one.</t>
  </si>
  <si>
    <t>Elija Región Personalizada en el cuadro de Región Climática para usar esta fila. Ingrese sus propios Días Grado de Enfriamiento y Ajuste de Humedad en las celdas blancas; el multiplicador se calcula automáticamente.
Dónde obtenerlo: los días grado de enfriamiento (base 65 °F) de su ubicación en NOAA u otra fuente de datos meteorológicos. Use de 0% a 30% para la humedad: alrededor de 5% para un clima seco y 30% para uno muy húmedo.</t>
  </si>
  <si>
    <t>Escolha Região Personalizada na caixa Região Climática para usar esta linha. Informe seus próprios Graus-Dia de Resfriamento e Ajuste de Umidade nas células brancas; o multiplicador é calculado para você.
Onde encontrar: os graus-dia de resfriamento (base 65 °F) do seu local na NOAA ou outra fonte de dados meteorológicos. Use de 0% a 30% para a umidade: cerca de 5% para clima seco e 30% para muito úmido.</t>
  </si>
  <si>
    <t>Choisissez Région Personnalisée dans la zone Région Climatique pour utiliser cette ligne. Saisissez vos propres Degrés-Jours de Refroidissement et votre Ajustement de l'Humidité dans les cellules blanches ; le multiplicateur est calculé pour vous.
Où les trouver : les degrés-jours de refroidissement (base 65 °F) de votre localité auprès de la NOAA ou d'une autre source de données météo. Utilisez 0 % à 30 % pour l'humidité : environ 5 % pour un climat sec, 30 % pour un climat très humide.</t>
  </si>
  <si>
    <t>$H$56</t>
  </si>
  <si>
    <t>$I$62</t>
  </si>
  <si>
    <t>The total up-front cost of the Energy Valve project: the valve, installation and any related controls work. The financial results compare it with the annual pumping savings.
NPV subtracts it, SIR divides by it, and Simple Payback = investment / annual savings. Enter it before any utility rebate - the tool does not subtract rebates.
The value shown is an example; replace it with your quote.</t>
  </si>
  <si>
    <t>El costo inicial total del proyecto de Energy Valve: la válvula, la instalación y cualquier trabajo de control relacionado. Los resultados financieros lo comparan con los ahorros anuales de bombeo.
El VPN lo resta, el SIR divide entre él y la Recuperación Simple = inversión / ahorro anual. Ingréselo antes de cualquier reembolso de la compañía eléctrica: la herramienta no resta los reembolsos.
El valor mostrado es un ejemplo; reemplácelo por su cotización.</t>
  </si>
  <si>
    <t>O custo inicial total do projeto de Energy Valve: a válvula, a instalação e qualquer trabalho de controle relacionado. Os resultados financeiros o comparam com a economia anual de bombeamento.
O VPL o subtrai, o SIR divide por ele e o Retorno Simples = investimento / economia anual. Informe-o antes de qualquer reembolso da concessionária: a ferramenta não subtrai reembolsos.
O valor mostrado é um exemplo; substitua-o pela sua cotação.</t>
  </si>
  <si>
    <t>Le coût initial total du projet Energy Valve : la vanne, l'installation et les travaux de régulation associés. Les résultats financiers le comparent aux économies annuelles de pompage.
La VAN le soustrait, le SIR divise par ce montant et la Récupération Simple = investissement / économies annuelles. Saisissez-le avant toute remise du fournisseur d'électricité : l'outil ne soustrait pas les remises.
La valeur affichée est un exemple ; remplacez-la par votre devis.</t>
  </si>
  <si>
    <t>$I$64</t>
  </si>
  <si>
    <t>How many years the Energy Valve is expected to keep delivering these savings. It is used for the Lifetime Electricity Savings (annual kWh saved x years) on Results and in the Utility Rebate Support summary.
It does not change the 5, 10, 15 and 20 year NPV and SIR figures, which are always calculated for those four periods.</t>
  </si>
  <si>
    <t>Cuántos años se espera que la Energy Valve siga generando estos ahorros. Se usa para el Ahorro de Electricidad en Vida Útil (kWh anuales ahorrados x años) en Resultados y en el resumen de Soporte para Reembolso.
No cambia las cifras de VPN y SIR a 5, 10, 15 y 20 años, que siempre se calculan para esos cuatro períodos.</t>
  </si>
  <si>
    <t>Por quantos anos se espera que a Energy Valve continue gerando essas economias. É usado para a Economia de Eletricidade na Vida Útil (kWh anuais economizados x anos) em Resultados e no resumo de Suporte para Reembolso.
Não altera os valores de VPL e SIR a 5, 10, 15 e 20 anos, que são sempre calculados para esses quatro períodos.</t>
  </si>
  <si>
    <t>Le nombre d'années pendant lesquelles l'Energy Valve devrait continuer à générer ces économies. Il sert aux Économies d'Électricité sur la Durée de Vie (kWh économisés par an x années) dans Résultats et dans le résumé Support pour Remise.
Il ne modifie pas les valeurs de VAN et de SIR à 5, 10, 15 et 20 ans, toujours calculées pour ces quatre périodes.</t>
  </si>
  <si>
    <t>$I$68</t>
  </si>
  <si>
    <t>The number of years the annual savings take to repay the investment: Investment Cost / annual savings.
It ignores the time value of money (see NPV and SIR), so it is the quickest but roughest yardstick. It is blank when the Investment Cost is 0.</t>
  </si>
  <si>
    <t>El número de años que tardan los ahorros anuales en recuperar la inversión: Costo de Inversión / ahorro anual.
Ignora el valor del dinero en el tiempo (vea VPN y SIR), por lo que es la medida más rápida pero más aproximada. Queda en blanco cuando el Costo de Inversión es 0.</t>
  </si>
  <si>
    <t>O número de anos que a economia anual leva para recuperar o investimento: Custo do Investimento / economia anual.
Ignora o valor do dinheiro no tempo (veja VPL e SIR), portanto é a medida mais rápida, porém mais aproximada. Fica em branco quando o Custo do Investimento é 0.</t>
  </si>
  <si>
    <t>Le nombre d'années que mettent les économies annuelles à rembourser l'investissement : Coût de l'Investissement / économies annuelles.
Il ignore la valeur temporelle de l'argent (voir VAN et SIR) ; c'est donc la mesure la plus rapide mais la plus approximative. Il reste vide lorsque le Coût de l'Investissement est 0.</t>
  </si>
  <si>
    <t>$E$7</t>
  </si>
  <si>
    <t>V'max is the coil's full-load flow - the Design Coil Load you entered on Home - and the maximum flow setting of the Energy Valve. It is the starting point for every calculation on this sheet.</t>
  </si>
  <si>
    <t>V'max es el caudal de la serpentina a plena carga - la Carga de Diseño de la Serpentina que ingresó en Home - y el ajuste de caudal máximo de la Energy Valve. Es el punto de partida de todos los cálculos de esta hoja.</t>
  </si>
  <si>
    <t>V'max é a vazão da serpentina a plena carga - a Carga de Projeto da Serpentina que você informou em Home - e o ajuste de vazão máxima da Energy Valve. É o ponto de partida de todos os cálculos desta planilha.</t>
  </si>
  <si>
    <t>V'max est le débit de la batterie à pleine charge - la Charge de Conception de la Batterie saisie dans Home - et le réglage de débit maximum de l'Energy Valve. C'est le point de départ de tous les calculs de cette feuille.</t>
  </si>
  <si>
    <t>$E$8</t>
  </si>
  <si>
    <t>The Design Delta T from Home (change it there). With the flow it fixes the coil's full-load capacity: flow x Delta T x 500 = BTU/h.</t>
  </si>
  <si>
    <t>El Delta T de Diseño de Home (cámbielo allí). Junto con el caudal fija la capacidad de la serpentina a plena carga: caudal x Delta T x 500 = BTU/h.</t>
  </si>
  <si>
    <t>O Delta T de Projeto de Home (altere-o lá). Junto com a vazão fixa a capacidade da serpentina a plena carga: vazão x Delta T x 500 = BTU/h.</t>
  </si>
  <si>
    <t>Le Delta T de Conception de Home (modifiez-le là). Avec le débit, il fixe la puissance de la batterie à pleine charge : débit x Delta T x 500 = BTU/h.</t>
  </si>
  <si>
    <t>$E$9</t>
  </si>
  <si>
    <t>The coil's design capacity in tons (kW in Metric): flow (GPM) x Delta T (°F) / 24. One ton of cooling is 12,000 BTU/h.</t>
  </si>
  <si>
    <t>La capacidad de diseño de la serpentina en toneladas (kW en Métrico): caudal (GPM) x Delta T (°F) / 24. Una tonelada de refrigeración son 12,000 BTU/h.</t>
  </si>
  <si>
    <t>A capacidade de projeto da serpentina em toneladas (kW em Métrico): vazão (GPM) x Delta T (°F) / 24. Uma tonelada de refrigeração é 12,000 BTU/h.</t>
  </si>
  <si>
    <t>La puissance de conception de la batterie en tonnes (kW en Métrique) : débit (GPM) x Delta T (°F) / 24. Une tonne de réfrigération vaut 12,000 BTU/h.</t>
  </si>
  <si>
    <t>The coil's design capacity in BTU/h (kW in Metric): flow (GPM) x Delta T (°F) x 500. The factor 500 is the water constant: 60 minutes x 8.33 lb per gallon x 1 BTU/lb-°F.
The Delta T scenarios further down must deliver this same load - and at a lower Delta T that takes more flow.</t>
  </si>
  <si>
    <t>La capacidad de diseño de la serpentina en BTU/h (kW en Métrico): caudal (GPM) x Delta T (°F) x 500. El factor 500 es la constante del agua: 60 minutos x 8.33 lb por galón x 1 BTU/lb-°F.
Los escenarios de Delta T más abajo deben entregar esta misma carga - y con un Delta T menor se necesita más caudal.</t>
  </si>
  <si>
    <t>A capacidade de projeto da serpentina em BTU/h (kW em Métrico): vazão (GPM) x Delta T (°F) x 500. O fator 500 é a constante da água: 60 minutos x 8.33 lb por galão x 1 BTU/lb-°F.
Os cenários de Delta T mais abaixo devem entregar esta mesma carga - e com um Delta T menor é preciso mais vazão.</t>
  </si>
  <si>
    <t>La puissance de conception de la batterie en BTU/h (kW en Métrique) : débit (GPM) x Delta T (°F) x 500. Le facteur 500 est la constante de l'eau : 60 minutes x 8.33 lb par gallon x 1 BTU/lb-°F.
Les scénarios de Delta T plus bas doivent fournir cette même charge - et avec un Delta T plus faible, il faut plus de débit.</t>
  </si>
  <si>
    <t>$H$10</t>
  </si>
  <si>
    <t>The Energy Valve model whose flow range contains the coil's design flow (V'max), with its flow range and connection size. Above 714 GPM the tool shows Dual EV's.
It is a guide based on V'max only - confirm the final selection against the Energy Valve data sheet.</t>
  </si>
  <si>
    <t>$B$19</t>
  </si>
  <si>
    <t>The same cooling load repeated at six Delta T values, 4 to 14 °F. When the Delta T is low, the coil needs more water to deliver the same BTU/h:
Flow = design tons x Load % x 24 / Delta T - but never more than the Max Flow Rate (Design Coil Load x Pump Design Factor).
Head, power, energy and cost then follow as in the design table. Low Delta T means much more pumping energy - and when the pump reaches its limit, the coil can no longer deliver the full load.</t>
  </si>
  <si>
    <t>La misma carga de enfriamiento repetida con seis valores de Delta T, de 4 a 14 °F. Cuando el Delta T es bajo, la serpentina necesita más agua para entregar los mismos BTU/h:
Caudal = toneladas de diseño x Carga % x 24 / Delta T - pero nunca más que el Caudal Máximo (Carga de Diseño de la Serpentina x Factor de Diseño de la Bomba).
La altura, la potencia, la energía y el costo se derivan como en la tabla de diseño. Un Delta T bajo significa mucha más energía de bombeo - y cuando la bomba llega a su límite, la serpentina ya no puede entregar la carga completa.</t>
  </si>
  <si>
    <t>A mesma carga de resfriamento repetida em seis valores de Delta T, de 4 a 14 °F. Quando o Delta T é baixo, a serpentina precisa de mais água para entregar os mesmos BTU/h:
Vazão = toneladas de projeto x Carga % x 24 / Delta T - mas nunca mais que a Vazão Máxima (Carga de Projeto da Serpentina x Fator de Projeto da Bomba).
A altura, a potência, a energia e o custo seguem como na tabela de projeto. Um Delta T baixo significa muito mais energia de bombeamento - e quando a bomba atinge seu limite, a serpentina não consegue mais entregar a carga total.</t>
  </si>
  <si>
    <t>La même charge de refroidissement répétée à six valeurs de Delta T, de 4 à 14 °F. Quand le Delta T est faible, la batterie a besoin de plus d'eau pour fournir les mêmes BTU/h :
Débit = tonnes de conception x Charge % x 24 / Delta T - mais jamais plus que le Débit Maximum (Charge de Conception de la Batterie x Facteur de Conception de la Pompe).
La hauteur, la puissance, l'énergie et le coût en découlent comme dans le tableau de conception. Un Delta T faible signifie beaucoup plus d'énergie de pompage - et quand la pompe atteint sa limite, la batterie ne peut plus fournir la pleine charge.</t>
  </si>
  <si>
    <t>$L$19</t>
  </si>
  <si>
    <t>Compares today (Actual Delta T) with after the Energy Valve (Future Delta T), using the two rows of the table below that match your entries on Home.
Avg Flow is the average chilled-water flow over the operating year (annual gallons / (60 x annual operating hours)). Pumping Cost / Year and Energy / Year are the annual pump electricity cost and kWh at each Delta T.</t>
  </si>
  <si>
    <t>Compara la situación actual (Delta T Real) con la posterior a la Energy Valve (Delta T Futuro), usando las dos filas de la tabla de abajo que coinciden con sus entradas en Home.
El Flujo Promedio es el caudal medio de agua helada durante el año de operación (galones anuales / (60 x horas de operación anuales)). El Costo de Bombeo / Año y la Energía / Año son el costo anual de electricidad de la bomba y los kWh con cada Delta T.</t>
  </si>
  <si>
    <t>Compara a situação atual (Delta T Real) com a posterior à Energy Valve (Delta T Futuro), usando as duas linhas da tabela abaixo que correspondem às suas entradas em Home.
A Vazão Média é a vazão média de água gelada durante o ano de operação (galões anuais / (60 x horas de operação anuais)). O Custo de Bombeamento / Ano e a Energia / Ano são o custo anual de eletricidade da bomba e os kWh em cada Delta T.</t>
  </si>
  <si>
    <t>Compare la situation actuelle (Delta T Réel) à celle après l'Energy Valve (Delta T Futur), en utilisant les deux lignes du tableau ci-dessous qui correspondent à vos entrées dans Home.
Le Débit Moyen est le débit moyen d'eau glacée sur l'année de fonctionnement (gallons annuels / (60 x heures de fonctionnement annuelles)). Le Coût de Pompage / An et l'Énergie / An sont le coût annuel d'électricité de la pompe et les kWh à chaque Delta T.</t>
  </si>
  <si>
    <t>$H$20</t>
  </si>
  <si>
    <t>One row per Delta T scenario, 4 to 14 °F. Avg [tons] is the average cooling load delivered (Avg Flow x Delta T / 24): it is the same at every Delta T once the pump can keep up, and lower where the pump reaches its maximum flow and the coil cannot deliver the full load.
Pumping Cost, Energy and Annual gallons are yearly totals. The colors run from red (lowest Delta T, highest pumping cost) to blue (highest Delta T).</t>
  </si>
  <si>
    <t>Una fila por escenario de Delta T, de 4 a 14 °F. Prom. [tons] es la carga de enfriamiento media entregada (Flujo Promedio x Delta T / 24): es la misma con cada Delta T mientras la bomba pueda seguir el ritmo, y menor donde la bomba alcanza su caudal máximo y la serpentina no puede entregar la carga completa.
El Costo de Bombeo, la Energía y los Galones anuales son totales anuales. Los colores van del rojo (Delta T más bajo, mayor costo de bombeo) al azul (Delta T más alto).</t>
  </si>
  <si>
    <t>Uma linha por cenário de Delta T, de 4 a 14 °F. Méd. [tons] é a carga de resfriamento média entregue (Vazão Média x Delta T / 24): é a mesma em cada Delta T enquanto a bomba conseguir acompanhar, e menor onde a bomba atinge sua vazão máxima e a serpentina não consegue entregar a carga total.
O Custo de Bombeamento, a Energia e os Galões anuais são totais anuais. As cores vão do vermelho (menor Delta T, maior custo de bombeamento) ao azul (maior Delta T).</t>
  </si>
  <si>
    <t>Une ligne par scénario de Delta T, de 4 à 14 °F. Moy. [tonnes] est la charge de refroidissement moyenne fournie (Débit Moyen x Delta T / 24) : elle est la même à chaque Delta T tant que la pompe suit, et plus faible là où la pompe atteint son débit maximum et où la batterie ne peut pas fournir la pleine charge.
Le Coût de Pompage, l'Énergie et les Gallons annuels sont des totaux annuels. Les couleurs vont du rouge (Delta T le plus faible, coût de pompage le plus élevé) au bleu (Delta T le plus élevé).</t>
  </si>
  <si>
    <t>$H$27</t>
  </si>
  <si>
    <t>The savings from moving from the Actual Delta T to the Future Delta T: the Actual row minus the Future row of the table above, for Pumping Cost ($ per year), Energy (kWh per year) and Annual gallons.
These figures feed the Financial Summary, the Utility Rebate Support numbers and the greenhouse-gas equivalents.</t>
  </si>
  <si>
    <t>Los ahorros de pasar del Delta T Real al Delta T Futuro: la fila Real menos la fila Futuro de la tabla anterior, para el Costo de Bombeo ($ por año), la Energía (kWh por año) y los Galones anuales.
Estas cifras alimentan el Resumen Financiero, los números de Soporte para Reembolso y los equivalentes de gases de efecto invernadero.</t>
  </si>
  <si>
    <t>As economias de passar do Delta T Real para o Delta T Futuro: a linha Real menos a linha Futuro da tabela acima, para o Custo de Bombeamento ($ por ano), a Energia (kWh por ano) e os Galões anuais.
Esses valores alimentam o Resumo Financeiro, os números de Suporte para Reembolso e os equivalentes de gases de efeito estufa.</t>
  </si>
  <si>
    <t>Les économies obtenues en passant du Delta T Réel au Delta T Futur : la ligne Réel moins la ligne Futur du tableau ci-dessus, pour le Coût de Pompage ($ par an), l'Énergie (kWh par an) et les Gallons annuels.
Ces chiffres alimentent le Résumé Financier, les valeurs du Support pour Remise et les équivalents en gaz à effet de serre.</t>
  </si>
  <si>
    <t>$F$67</t>
  </si>
  <si>
    <t>The kWh of electricity saved per year by moving from the Actual to the Future Delta T: Energy / Year at Actual minus Energy / Year at Future. It is the same kWh figure as the Annual Energy Savings row above.</t>
  </si>
  <si>
    <t>Los kWh de electricidad ahorrados por año al pasar del Delta T Real al Futuro: Energía / Año con el valor Real menos Energía / Año con el Futuro. Es la misma cifra de kWh de la fila de Ahorro Anual de Energía de arriba.</t>
  </si>
  <si>
    <t>Os kWh de eletricidade economizados por ano ao passar do Delta T Real para o Futuro: Energia / Ano no valor Real menos Energia / Ano no Futuro. É o mesmo valor de kWh da linha de Economia Anual de Energia acima.</t>
  </si>
  <si>
    <t>Les kWh d'électricité économisés par an en passant du Delta T Réel au Futur : Énergie / An au Réel moins Énergie / An au Futur. C'est le même chiffre en kWh que la ligne d'Économies Annuelles d'Énergie ci-dessus.</t>
  </si>
  <si>
    <t>$F$68</t>
  </si>
  <si>
    <t>The average electrical demand the pumps no longer draw while the system runs: Annual Electricity Savings (kWh) / Annual Operating Hours.</t>
  </si>
  <si>
    <t>La demanda eléctrica media que las bombas dejan de consumir mientras el sistema funciona: Ahorro Anual de Electricidad (kWh) / Horas de Operación Anuales.</t>
  </si>
  <si>
    <t>A demanda elétrica média que as bombas deixam de consumir enquanto o sistema funciona: Economia Anual de Eletricidade (kWh) / Horas de Operação Anuais.</t>
  </si>
  <si>
    <t>La puissance électrique moyenne que les pompes ne consomment plus pendant que le système fonctionne : Économies Annuelles d'Électricité (kWh) / Heures de Fonctionnement Annuelles.</t>
  </si>
  <si>
    <t>$F$69</t>
  </si>
  <si>
    <t>The drop in the pumps' peak electrical power (kW at their heaviest load point) between the Actual and the Future Delta T.
Useful for utility programs that reward demand (kW) reduction, not just energy (kWh).</t>
  </si>
  <si>
    <t>La reducción de la potencia eléctrica máxima de las bombas (kW en su punto de carga más alto) entre el Delta T Real y el Futuro.
Útil para programas de las compañías eléctricas que recompensan la reducción de demanda (kW), no solo de energía (kWh).</t>
  </si>
  <si>
    <t>A redução da potência elétrica de pico das bombas (kW no ponto de carga mais alto) entre o Delta T Real e o Futuro.
Útil para programas das concessionárias que premiam a redução de demanda (kW), e não apenas de energia (kWh).</t>
  </si>
  <si>
    <t>La baisse de la puissance électrique de pointe des pompes (kW à leur point de charge le plus élevé) entre le Delta T Réel et le Futur.
Utile pour les programmes des fournisseurs d'électricité qui récompensent la réduction de puissance (kW) et pas seulement d'énergie (kWh).</t>
  </si>
  <si>
    <t>$F$73</t>
  </si>
  <si>
    <t>The share of pump energy saved by moving from the Actual to the Future Delta T: (Baseline Annual Pump Energy - Post-Retrofit Annual Pump Energy) / Baseline Annual Pump Energy.</t>
  </si>
  <si>
    <t>La proporción de energía de bombeo ahorrada al pasar del Delta T Real al Futuro: (Energía Anual de Bomba Base - Energía Anual de Bomba Posterior) / Energía Anual de Bomba Base.</t>
  </si>
  <si>
    <t>A parcela de energia de bombeamento economizada ao passar do Delta T Real para o Futuro: (Energia Anual da Bomba Base - Energia Anual da Bomba Pós-Retrofit) / Energia Anual da Bomba Base.</t>
  </si>
  <si>
    <t>La part d'énergie de pompage économisée en passant du Delta T Réel au Futur : (Énergie Annuelle de Pompe de Référence - Énergie Annuelle de Pompe Après Mesure) / Énergie Annuelle de Pompe de Référence.</t>
  </si>
  <si>
    <t>$F$77</t>
  </si>
  <si>
    <t>Annual Electricity Savings x Estimated Measure Life. It assumes the savings stay the same every year, with no degradation.</t>
  </si>
  <si>
    <t>Ahorro Anual de Electricidad x Vida Útil Estimada de la Medida. Supone que el ahorro se mantiene igual todos los años, sin degradación.</t>
  </si>
  <si>
    <t>Economia Anual de Eletricidade x Vida Útil Estimada da Medida. Supõe que a economia se mantém igual todos os anos, sem degradação.</t>
  </si>
  <si>
    <t>Économies Annuelles d'Électricité x Durée de Vie Estimée de la Mesure. Suppose que les économies restent identiques chaque année, sans dégradation.</t>
  </si>
  <si>
    <t>$F$78</t>
  </si>
  <si>
    <t>The reduction in chilled water circulated by the pumps each year: Annual gallons at the Actual Delta T minus at the Future Delta T. Less water moved means less pump energy.
It is not water saved from the building - the same water keeps circulating in the loop.</t>
  </si>
  <si>
    <t>La reducción del agua helada que hacen circular las bombas cada año: Galones anuales con el Delta T Real menos con el Futuro. Menos agua movida significa menos energía de bombeo.
No es agua ahorrada del edificio: la misma agua sigue circulando en el circuito.</t>
  </si>
  <si>
    <t>A redução da água gelada circulada pelas bombas a cada ano: Galões anuais no Delta T Real menos no Futuro. Menos água movida significa menos energia de bombeamento.
Não é água economizada do edifício: a mesma água continua circulando no circuito.</t>
  </si>
  <si>
    <t>La réduction de l'eau glacée mise en circulation par les pompes chaque année : Gallons annuels au Delta T Réel moins au Futur. Moins d'eau déplacée signifie moins d'énergie de pompage.
Ce n'est pas de l'eau économisée par le bâtiment : la même eau continue de circuler dans la boucle.</t>
  </si>
  <si>
    <t>Charts</t>
  </si>
  <si>
    <t>$H$2</t>
  </si>
  <si>
    <t>The Energy Valve's flow characteristic for your Design Coil Load (V'max): the flow (GPM) you get at each valve position (% open). Flow rises slowly at first and faster as the valve opens.
Below about 5% of V'max the tool treats the valve as closed. The values come from the Flow Curves sheet.</t>
  </si>
  <si>
    <t>La característica de caudal de la Energy Valve para su Carga de Diseño de la Serpentina (V'max): el caudal (GPM) que se obtiene en cada posición de la válvula (% abierta). El caudal sube despacio al principio y más rápido a medida que la válvula se abre.
Por debajo de aproximadamente el 5% de V'max la herramienta considera la válvula cerrada. Los valores provienen de la hoja Flow Curves.</t>
  </si>
  <si>
    <t>A característica de vazão da Energy Valve para a sua Carga de Projeto da Serpentina (V'max): a vazão (GPM) obtida em cada posição da válvula (% aberta). A vazão sobe devagar no início e mais rápido à medida que a válvula abre.
Abaixo de cerca de 5% de V'max a ferramenta considera a válvula fechada. Os valores vêm da planilha Flow Curves.</t>
  </si>
  <si>
    <t>La caractéristique de débit de l'Energy Valve pour votre Charge de Conception de la Batterie (V'max) : le débit (GPM) obtenu à chaque position de la vanne (% ouverte). Le débit augmente lentement au début, puis plus vite à mesure que la vanne s'ouvre.
En dessous d'environ 5 % de V'max, l'outil considère la vanne comme fermée. Les valeurs proviennent de la feuille Flow Curves.</t>
  </si>
  <si>
    <t>$Q$2</t>
  </si>
  <si>
    <t>The same flow curve plotted against the DDC control signal (2 to 10 V), together with the coil capacity it delivers (BTU/h, right-hand axis) at the Design Delta T.
Read up from a control voltage to see both the GPM and the BTU/h the coil gets at that signal.</t>
  </si>
  <si>
    <t>La misma curva de caudal trazada frente a la señal de control DDC (2 a 10 V), junto con la capacidad de la serpentina que entrega (BTU/h, eje derecho) con el Delta T de Diseño.
Lea hacia arriba desde un voltaje de control para ver tanto los GPM como los BTU/h que recibe la serpentina con esa señal.</t>
  </si>
  <si>
    <t>A mesma curva de vazão traçada em relação ao sinal de controle DDC (2 a 10 V), junto com a capacidade da serpentina que ela entrega (BTU/h, eixo direito) no Delta T de Projeto.
Leia para cima a partir de uma tensão de controle para ver tanto os GPM quanto os BTU/h que a serpentina recebe nesse sinal.</t>
  </si>
  <si>
    <t>La même courbe de débit tracée en fonction du signal de commande DDC (2 à 10 V), avec la puissance de la batterie qu'elle fournit (BTU/h, axe de droite) au Delta T de Conception.
Lisez vers le haut à partir d'une tension de commande pour voir à la fois les GPM et les BTU/h que la batterie reçoit avec ce signal.</t>
  </si>
  <si>
    <t>$H$22</t>
  </si>
  <si>
    <t>The flow (GPM) the Energy Valve passes for each DDC control voltage (2 to 10 V), for your Design Coil Load (V'max). Use it to see what flow a given control signal from the BAS produces.</t>
  </si>
  <si>
    <t>El caudal (GPM) que deja pasar la Energy Valve con cada voltaje de control DDC (2 a 10 V), para su Carga de Diseño de la Serpentina (V'max). Úselo para ver qué caudal produce una señal de control dada del BAS.</t>
  </si>
  <si>
    <t>A vazão (GPM) que a Energy Valve deixa passar para cada tensão de controle DDC (2 a 10 V), para a sua Carga de Projeto da Serpentina (V'max). Use para ver que vazão um determinado sinal de controle do BAS produz.</t>
  </si>
  <si>
    <t>Le débit (GPM) que l'Energy Valve laisse passer pour chaque tension de commande DDC (2 à 10 V), pour votre Charge de Conception de la Batterie (V'max). Servez-vous-en pour voir quel débit produit un signal de commande donné de la GTB.</t>
  </si>
  <si>
    <t>$Q$22</t>
  </si>
  <si>
    <t>The coil capacity (BTU/h) for each flow (GPM) at the Design Delta T. It is a straight line because BTU/h = GPM x Delta T x 500: every extra GPM carries the same amount of cooling.</t>
  </si>
  <si>
    <t>La capacidad de la serpentina (BTU/h) para cada caudal (GPM) con el Delta T de Diseño. Es una línea recta porque BTU/h = GPM x Delta T x 500: cada GPM adicional aporta la misma cantidad de enfriamiento.</t>
  </si>
  <si>
    <t>A capacidade da serpentina (BTU/h) para cada vazão (GPM) no Delta T de Projeto. É uma linha reta porque BTU/h = GPM x Delta T x 500: cada GPM adicional traz a mesma quantidade de resfriamento.</t>
  </si>
  <si>
    <t>La puissance de la batterie (BTU/h) pour chaque débit (GPM) au Delta T de Conception. C'est une droite car BTU/h = GPM x Delta T x 500 : chaque GPM supplémentaire apporte la même quantité de refroidissement.</t>
  </si>
  <si>
    <t>$G$53</t>
  </si>
  <si>
    <t>$G$54</t>
  </si>
  <si>
    <t>$G$55</t>
  </si>
  <si>
    <t>If you do not know the Pump Efficiency %, a safe value is 70 - 80 percent.</t>
  </si>
  <si>
    <t>DISCOUNT RATE
Money you save years from now is worth less than money saved today, because cash in hand could be earning interest in the meantime. The discount rate is how much less. At 4%, a dollar saved 10 years from now counts as about 68 cents today.
Use your organization's cost of borrowing or its required rate of return. 3-6% is common for public and utility-funded work, higher for private investment. A higher rate makes future savings count for less, so the project looks less attractive.</t>
  </si>
  <si>
    <t>SAVINGS-TO-INVESTMENT RATIO (SIR)
SIR is the same discounted savings divided by the up-front cost. It answers: for every dollar I spend, how many dollars do I get back?
Above 1.0 means you get back more than you put in. Below 1.0 means you do not. An SIR of 1.5 means every $1 invested returns about $1.50 in today's money.
Many rebate and public funding programs require an SIR of at least 1.0, and because it is a ratio it lets you rank projects of very different sizes against each other.</t>
  </si>
  <si>
    <t>VALOR PRESENTE NETO (VPN)
El VPN suma los ahorros de energía del período elegido, reduce los ahorros de cada año a lo que valen en dinero de hoy usando la tasa de descuento, y luego resta la inversión inicial.
Un valor positivo significa que el proyecto ya se pagó con creces en ese momento. Uno negativo, que todavía no. Esta herramienta muestra el VPN a 5, 10, 15 y 20 años: si es negativo a 5 años y positivo a 15, el proyecto se vuelve rentable en algún punto intermedio. Al comparar opciones, cuanto más alto, mejor.</t>
  </si>
  <si>
    <t>How the coil and pump behave at the four load points at the Design Delta T. For each load:
Flow = Design Coil Load x Load %. Head falls with the square of the flow (affinity laws) but never below the Minimum Pump Head. Power [HP] = Flow x Head / (3960 x pump efficiency). BTU/h = Flow x Delta T x 500.
Energy [kWh] = Time [h] x Power x 0.746. Annual gallons = Time [h] x Flow x 60. Pump Costs = Energy x Electricity Cost. The totals under each column are the annual figures.</t>
  </si>
  <si>
    <t>Cómo se comportan la serpentina y la bomba en los cuatro puntos de carga con el Delta T de Diseño. Para cada carga:
Caudal = Carga de Diseño de la Serpentina x Carga %. La altura cae con el cuadrado del caudal (leyes de afinidad) pero nunca por debajo de la Altura Mínima de la Bomba. Potencia [HP] = Caudal x Altura / (3960 x eficiencia de la bomba). BTU/h = Caudal x Delta T x 500.
Energía [kWh] = Tiempo [h] x Potencia x 0.746. Galones anuales = Tiempo [h] x Caudal x 60. Costos de Bombeo = Energía x Costo de Electricidad. Los totales bajo cada columna son las cifras anuales.</t>
  </si>
  <si>
    <t>Como a serpentina e a bomba se comportam nos quatro pontos de carga no Delta T de Projeto. Para cada carga:
Vazão = Carga de Projeto da Serpentina x Carga %. A altura cai com o quadrado da vazão (leis de afinidade), mas nunca abaixo da Altura Mínima da Bomba. Potência [HP] = Vazão x Altura / (3960 x eficiência da bomba). BTU/h = Vazão x Delta T x 500.
Energia [kWh] = Tempo [h] x Potência x 0.746. Galões anuais = Tempo [h] x Vazão x 60. Custos de Bombeamento = Energia x Custo de Eletricidade. Os totais sob cada coluna são os valores anuais.</t>
  </si>
  <si>
    <t>Comment la batterie et la pompe se comportent aux quatre points de charge au Delta T de Conception. Pour chaque charge :
Débit = Charge de Conception de la Batterie x Charge %. La hauteur diminue avec le carré du débit (lois de similitude) mais jamais sous la Hauteur Minimale de la Pompe. Puissance [HP] = Débit x Hauteur / (3960 x rendement de la pompe). BTU/h = Débit x Delta T x 500.
Énergie [kWh] = Temps [h] x Puissance x 0.746. Gallons annuels = Temps [h] x Débit x 60. Coûts de Pompage = Énergie x Coût de l'Électricité. Les totaux sous chaque colonne sont les valeurs annuelles.</t>
  </si>
  <si>
    <t>Compares each Delta T scenario with the design case, load point by load point.
As % of Design: the cooling actually delivered (BTU/h) divided by the design BTU/h. Below 100% means the pump has reached its Max Flow Rate and the coil cannot meet the load at that Delta T.
Increase In GPM and Additional Pumped gallons: the extra flow and extra water pumped compared with the design case. Pump Costs: the full annual electricity cost of pumping at that Delta T (Energy [kWh] x Electricity Cost) - the total, not just the increase, even though the column sits under the "Additional" heading.</t>
  </si>
  <si>
    <t>Compara cada escenario de Delta T con el caso de diseño, punto de carga por punto de carga.
Como % del Diseño: el enfriamiento realmente entregado (BTU/h) dividido entre los BTU/h de diseño. Menos de 100% significa que la bomba alcanzó su Caudal Máximo y la serpentina no puede cubrir la carga con ese Delta T.
Aumento en GPM y Galones bombeados adicionales: el caudal extra y el agua extra bombeada respecto al caso de diseño. Costos de Bombeo: el costo anual completo de electricidad del bombeo con ese Delta T (Energía [kWh] x Costo de Electricidad) - el total, no solo el aumento, aunque la columna esté bajo el encabezado "Adicional".</t>
  </si>
  <si>
    <t>Compara cada cenário de Delta T com o caso de projeto, ponto de carga por ponto de carga.
Como % do Projeto: o resfriamento realmente entregue (BTU/h) dividido pelos BTU/h de projeto. Abaixo de 100% significa que a bomba atingiu sua Vazão Máxima e a serpentina não consegue atender à carga nesse Delta T.
Aumento em GPM e Galões bombeados adicionais: a vazão extra e a água extra bombeada em relação ao caso de projeto. Custos de Bombeamento: o custo anual completo de eletricidade do bombeamento nesse Delta T (Energia [kWh] x Custo de Eletricidade) - o total, não apenas o aumento, embora a coluna esteja sob o título "Adicional".</t>
  </si>
  <si>
    <t>Compare chaque scénario de Delta T au cas de conception, point de charge par point de charge.
En % de la Conception : le refroidissement réellement fourni (BTU/h) divisé par les BTU/h de conception. Moins de 100 % signifie que la pompe a atteint son Débit Maximum et que la batterie ne peut pas satisfaire la charge à ce Delta T.
Augmentation en GPM et Gallons pompés supplémentaires : le débit supplémentaire et l'eau supplémentaire pompée par rapport au cas de conception. Coûts de Pompage : le coût annuel complet d'électricité du pompage à ce Delta T (Énergie [kWh] x Coût de l'Électricité) - le total, pas seulement l'augmentation, même si la colonne figure sous l'en-tête "Supplémentaire".</t>
  </si>
  <si>
    <t>Minimum Pump Head - the lowest head the pump can fall to at part load, in ft (kPa in Metric). Pumps often hold a set pressure at a sensor far out in the system, so head cannot drop below that value as load falls.
The calculation already supports this floor: head follows the square of the flow (affinity laws) until it reaches the floor, and the flow at that point becomes the minimum flow for every load point (shown at the right of the design data).
In this release the value is fixed at 0 (no floor) and the cell is locked, so the results credit the full affinity-law savings. Entering a value is a future feature.</t>
  </si>
  <si>
    <t>Altura mínima de la bomba - la altura más baja a la que puede bajar la bomba a carga parcial, en ft (kPa en Métrico). Las bombas suelen mantener una presión fija en un sensor lejano del sistema, por lo que la altura no puede bajar de ese valor al disminuir la carga.
El cálculo ya admite este piso: la altura sigue el cuadrado del caudal (leyes de afinidad) hasta llegar al piso, y el caudal en ese punto pasa a ser el caudal mínimo de todos los puntos de carga (se muestra a la derecha de los datos de diseño).
En esta versión el valor está fijado en 0 (sin piso) y la celda está bloqueada, por lo que los resultados acreditan el ahorro completo según las leyes de afinidad. Poder ingresar un valor es una función futura.</t>
  </si>
  <si>
    <t>Altura mínima da bomba - a menor altura a que a bomba pode chegar em carga parcial, em ft (kPa em Métrico). As bombas costumam manter uma pressão fixa em um sensor distante no sistema, então a altura não pode ficar abaixo desse valor quando a carga cai.
O cálculo já oferece suporte a esse piso: a altura segue o quadrado da vazão (leis de afinidade) até atingir o piso, e a vazão nesse ponto passa a ser a vazão mínima de todos os pontos de carga (mostrada à direita dos dados de projeto).
Nesta versão o valor é fixo em 0 (sem piso) e a célula está bloqueada, portanto os resultados creditam a economia total pelas leis de afinidade. Inserir um valor é um recurso futuro.</t>
  </si>
  <si>
    <t>Hauteur minimale de la pompe - la hauteur la plus basse que la pompe peut atteindre à charge partielle, en ft (kPa en Métrique). Les pompes maintiennent souvent une pression fixe à un capteur éloigné dans le réseau ; la hauteur ne peut donc pas descendre sous cette valeur quand la charge baisse.
Le calcul prend déjà en charge ce plancher : la hauteur suit le carré du débit (lois de similitude) jusqu'au plancher, et le débit à ce point devient le débit minimum de tous les points de charge (affiché à droite des données de conception).
Dans cette version, la valeur est fixée à 0 (aucun plancher) et la cellule est verrouillée ; les résultats créditent donc la totalité des économies selon les lois de similitude. La saisie d'une valeur est une fonction future.</t>
  </si>
  <si>
    <t>The head the primary chilled-water pump develops at design flow, in ft (kPa in Metric). It is the pressure the pump works against, so together with flow it sets the pump's power: flow x head / (3960 x efficiency), in HP.
At part load the tool lowers the head with the square of the flow (pump affinity laws), down to the Minimum Pump Head shown on Pump Savings (fixed at 0 in this release).
Where to find it: the pump schedule or nameplate at the design point. 1 psi = 2.31 ft.</t>
  </si>
  <si>
    <t>La altura (presión) que desarrolla la bomba primaria de agua helada al caudal de diseño, en ft (kPa en Métrico). Es la presión contra la que trabaja la bomba, por lo que junto con el caudal determina su potencia: caudal x altura / (3960 x eficiencia), en HP.
A carga parcial la herramienta reduce la altura con el cuadrado del caudal (leyes de afinidad de las bombas), hasta la Altura Mínima de la Bomba que se muestra en Pump Savings (fijada en 0 en esta versión).
Dónde obtenerla: el cuadro de bombas o la placa de datos en el punto de diseño. 1 psi = 2.31 ft.</t>
  </si>
  <si>
    <t>A altura (pressão) que a bomba primária de água gelada desenvolve na vazão de projeto, em ft (kPa em Métrico). É a pressão contra a qual a bomba trabalha, então junto com a vazão determina sua potência: vazão x altura / (3960 x eficiência), em HP.
Em carga parcial a ferramenta reduz a altura com o quadrado da vazão (leis de afinidade das bombas), até a Altura Mínima da Bomba mostrada em Pump Savings (fixa em 0 nesta versão).
Onde encontrar: a planilha de bombas ou a plaqueta no ponto de projeto. 1 psi = 2.31 ft.</t>
  </si>
  <si>
    <t>La hauteur manométrique que la pompe primaire d'eau glacée développe au débit de conception, en ft (kPa en Métrique). C'est la pression contre laquelle la pompe travaille ; avec le débit, elle détermine la puissance : débit x hauteur / (3960 x rendement), en HP.
À charge partielle, l'outil réduit la hauteur avec le carré du débit (lois de similitude des pompes), jusqu'à la Hauteur Minimale de la Pompe affichée dans Pump Savings (fixée à 0 dans cette version).
Où la trouver : le tableau des pompes ou la plaque signalétique au point de conception. 1 psi = 2.31 ft.</t>
  </si>
  <si>
    <t>Pump Design Factor - Enter the percentage of additional pumping available due to over sizing or future design.</t>
  </si>
  <si>
    <t>Esta herramienta no está protegida por derechos de autor de Belimo Aircontrols (USA), Inc. 
Esta es estrictamente una Herramienta de estimación para uso Interno Únicamente.  
Los resultados dependen de la precisión de los datos ingresados y no toman en cuenta ningún factor externo. Los resultados están diseñados para observar los efectos de los costos de bombeo sobre varios valores de Delta T para una sola serpentina utilizando cálculos estándar mediante las Reglas de Afinidad de Bombas. 
Esta herramienta fue diseñada para ayudar a responder la siguiente pregunta:
"Entonces... ¿cuánto me ahorrará esta válvula inteligente en este manejador de aire?"</t>
  </si>
  <si>
    <t>Esta ferramenta não é protegida por direitos autorais da Belimo Aircontrols (USA), Inc. 
Esta é estritamente uma Ferramenta de estimativa para uso Interno Apenas.  
Os resultados dependem da precisão dos dados inseridos e não levam em consideração nenhum fator externo. Os resultados são projetados para observar os efeitos dos custos de bombeamento em vários valores de Delta T para uma única serpentina, utilizando cálculos padrão por meio das Regras de Afinidade de Bombas. 
Esta ferramenta foi projetada para ajudar a responder à seguinte pergunta:
"Então... quanto essa válvula inteligente vai me economizar neste climatizador de ar?"</t>
  </si>
  <si>
    <t>Cet outil n'est pas protégé par les droits d'auteur de Belimo Aircontrols (USA), Inc. 
Il s'agit strictement d'un outil d'estimation à usage Interne Uniquement.  
Les résultats dépendent de la précision des données saisies et ne tiennent pas compte de facteurs externes. Les résultats sont conçus pour examiner les effets des coûts de pompage sur diverses valeurs de Delta T pour une seule batterie, en utilisant des calculs standard via les Règles d'Affinité des Pompes. 
Cet outil a été conçu pour aider à répondre à la question suivante :
« Alors... combien cette vanne intelligente me fera-t-elle économiser sur ce climatiseur ? »</t>
  </si>
  <si>
    <t>This tool is not copyrighted by Belimo Aircontrols (USA), Inc. 
This is strictly an estimating Tool to be used Internally Only.  
Results are dependent upon the accuracy of the data entered, and do not take into consideration any external factors. The results are designed to look at the effects of pump costs over various Delta T values for a single coil utilizing standard calculations via Pump Affinity Rules. 
This tool was designed to help answer the following question:
"So...how much will this smart valve save me on this air handler?"</t>
  </si>
  <si>
    <t>Minimum Pump Head</t>
  </si>
  <si>
    <t>Calculate Annual Savings by Changing the Delta T using the slider</t>
  </si>
  <si>
    <t xml:space="preserve"> Delta T</t>
  </si>
  <si>
    <t xml:space="preserve"> BTU/h at a </t>
  </si>
  <si>
    <t>Calcule el Ahorro Anual Cambiando el Delta T con el control deslizante</t>
  </si>
  <si>
    <t xml:space="preserve"> BTU/h a un </t>
  </si>
  <si>
    <t>Calcule a Economia Anual Alterando o Delta T com o controle deslizante</t>
  </si>
  <si>
    <t xml:space="preserve"> BTU/h a um </t>
  </si>
  <si>
    <t>Calculez les Économies Annuelles en Modifiant le Delta T avec le curseur</t>
  </si>
  <si>
    <t xml:space="preserve"> BTU/h à un </t>
  </si>
  <si>
    <t>EV_BELOW_RANGE</t>
  </si>
  <si>
    <t>Below EV range</t>
  </si>
  <si>
    <t>Por debajo del rango EV</t>
  </si>
  <si>
    <t>Abaixo da faixa EV</t>
  </si>
  <si>
    <t>Sous la plage EV</t>
  </si>
  <si>
    <t>Delta T Futuro (Ajuste del Gestor de Delta T)</t>
  </si>
  <si>
    <t>Delta T Futuro (Ajuste do Gerenciador de Delta T)</t>
  </si>
  <si>
    <t>Delta T Futur (Réglage du Gestionnaire Delta T)</t>
  </si>
  <si>
    <t>Relação Economia-Invest. (SIR)</t>
  </si>
  <si>
    <t>Ratio Économies-Invest. (SIR)</t>
  </si>
  <si>
    <t>Plántulas de Árboles Cultivadas por 10 Años</t>
  </si>
  <si>
    <t>Equivale al Uso Eléctrico Anual de Viviendas</t>
  </si>
  <si>
    <t>Equivale ao Uso Anual de Energia de Residências</t>
  </si>
  <si>
    <t>Équivaut à la Consommation Annuelle de Foyers</t>
  </si>
  <si>
    <t>Caudal de Diseño Serpentina [V'max]</t>
  </si>
  <si>
    <t>Vazão de Projeto Serpentina [V'max]</t>
  </si>
  <si>
    <t>Débit de Conception Batterie [V'max]</t>
  </si>
  <si>
    <t>ΔT de Diseño de la Serpentina</t>
  </si>
  <si>
    <t>ΔT de Projeto da Serpentina</t>
  </si>
  <si>
    <t>ΔT de Conception de la Batterie</t>
  </si>
  <si>
    <t>Diseño de la Serpentina</t>
  </si>
  <si>
    <t>Projeto da Serpentina</t>
  </si>
  <si>
    <t>Conception de la Batterie</t>
  </si>
  <si>
    <t>Caudal de la Serpentina a Delta T</t>
  </si>
  <si>
    <t>Vazão da Serpentina em Delta T</t>
  </si>
  <si>
    <t>Débit de la Batterie à Delta T</t>
  </si>
  <si>
    <t>% del Diseño</t>
  </si>
  <si>
    <t>% do Projeto</t>
  </si>
  <si>
    <t>% Conception</t>
  </si>
  <si>
    <t>Custo da Bomba</t>
  </si>
  <si>
    <t>Custo da bomba</t>
  </si>
  <si>
    <t xml:space="preserve">Select your Language and Units.
</t>
  </si>
  <si>
    <t xml:space="preserve">Seleccione su Idioma y Unidades.
</t>
  </si>
  <si>
    <t xml:space="preserve">Selecione seu Idioma e Unidades.
</t>
  </si>
  <si>
    <t xml:space="preserve">Choisissez la Langue et les Unités.
</t>
  </si>
  <si>
    <t>Enter into the boxes on the left, the:
Electric Costs
Coil Design Flow
Operating Hours
Pump Head
Motor Efficiency
Delta T values</t>
  </si>
  <si>
    <t>Ingrese en los recuadros de la izquierda, lo siguiente:
Costos Eléctricos
Caudal de Diseño de la Serpentina
Horas de Operación
Altura de la Bomba
Eficiencia del Motor
Valores de Delta T</t>
  </si>
  <si>
    <t>Insira nas caixas à esquerda, o seguinte:
Custos Elétricos
Vazão de Projeto da Serpentina
Horas de Operação
Altura da Bomba
Eficiência do Motor
Valores de Delta T</t>
  </si>
  <si>
    <t>Entrez dans les cases à gauche, les :
Coûts Électriques
Débit de Conception de la Batterie
Heures de Fonctionnement
Hauteur de la Pompe
Rendement du Moteur
Valeurs de Delta T</t>
  </si>
  <si>
    <t>OPERATING_HOURS_DAY_S</t>
  </si>
  <si>
    <t>Horas / Día</t>
  </si>
  <si>
    <t>Horas / Dia</t>
  </si>
  <si>
    <t>Heures / Jour</t>
  </si>
  <si>
    <t>OPERATING_DAYS_WEEK_S</t>
  </si>
  <si>
    <t>Días / Semana</t>
  </si>
  <si>
    <t>Dias / Semana</t>
  </si>
  <si>
    <t>Jours / Semaine</t>
  </si>
  <si>
    <t>OPERATING_WEEKS_YEAR_S</t>
  </si>
  <si>
    <t>Semanas / Año</t>
  </si>
  <si>
    <t>Semanas / Ano</t>
  </si>
  <si>
    <t>Semaines / An</t>
  </si>
  <si>
    <t>ANNUAL_OPERATING_HOURS_S</t>
  </si>
  <si>
    <t>Horas Anuales</t>
  </si>
  <si>
    <t>Horas Anuais</t>
  </si>
  <si>
    <t>Heures Annuelles</t>
  </si>
  <si>
    <t>DUAL_EVS</t>
  </si>
  <si>
    <t>EV Dobles</t>
  </si>
  <si>
    <t>EVs Duplas</t>
  </si>
  <si>
    <t>EV Doubles</t>
  </si>
  <si>
    <t>UP_TO</t>
  </si>
  <si>
    <t>Up to</t>
  </si>
  <si>
    <t>Jusqu'à</t>
  </si>
  <si>
    <t>Carbon dioxide avoided = kWh saved x 1.4808 lb per kWh (U.S. EPA national non-baseload rate, eGRID 2022, including transmission and distribution losses). Calculation according to EPA www.epa.gov</t>
  </si>
  <si>
    <t>Dióxido de carbono evitado = kWh ahorrados x 1.4808 lb por kWh (tasa nacional no base de la EPA de EE. UU., eGRID 2022, incluidas las pérdidas de transmisión y distribución). Cálculo según la EPA www.epa.gov</t>
  </si>
  <si>
    <t>Dióxido de carbono evitado = kWh economizados x 1.4808 lb por kWh (taxa nacional não-base da EPA dos EUA, eGRID 2022, incluindo perdas de transmissão e distribuição). Cálculo de acordo com a EPA www.epa.gov</t>
  </si>
  <si>
    <t>Dioxyde de carbone évité = kWh économisés x 1.4808 lb par kWh (taux national hors base de l'EPA américaine, eGRID 2022, pertes de transport et de distribution incluses). Calcul selon l'EPA www.epa.gov</t>
  </si>
  <si>
    <t>Tree seedlings = carbon dioxide avoided (metric tons) / 0.060: one tree seedling grown for 10 years absorbs 0.060 metric tons of CO2 (U.S. EPA). Calculation according to EPA www.epa.gov</t>
  </si>
  <si>
    <t>Plántulas de árboles = dióxido de carbono evitado (toneladas métricas) / 0.060: una plántula cultivada durante 10 años absorbe 0.060 toneladas métricas de CO2 (EPA de EE. UU.). Cálculo según la EPA www.epa.gov</t>
  </si>
  <si>
    <t>Mudas de árvores = dióxido de carbono evitado (toneladas métricas) / 0.060: uma muda cultivada por 10 anos absorve 0.060 toneladas métricas de CO2 (EPA dos EUA). Cálculo de acordo com a EPA www.epa.gov</t>
  </si>
  <si>
    <t>Semis d'arbres = dioxyde de carbone évité (tonnes métriques) / 0.060 : un semis cultivé pendant 10 ans absorbe 0.060 tonne métrique de CO2 (EPA américaine). Calcul selon l'EPA www.epa.gov</t>
  </si>
  <si>
    <t>Based on annual consumption of 12,194 kWh per home according to EPA www.epa.gov (kWh saved / 12,194).</t>
  </si>
  <si>
    <t>Basado en un consumo anual de 12,194 kWh por hogar según la EPA www.epa.gov (kWh ahorrados / 12,194).</t>
  </si>
  <si>
    <t>Com base no consumo anual de 12.194 kWh por residência, segundo a EPA www.epa.gov (kWh economizados / 12.194).</t>
  </si>
  <si>
    <t>Basé sur une consommation annuelle de 12 194 kWh par foyer selon l'EPA www.epa.gov (kWh économisés / 12 194).</t>
  </si>
  <si>
    <t>The factor applied to the Annual Operating Hours for each region: the region's cooling degree days divided by the average of the regions, times (1 + the humidity adjustment).
The factor is capped at 1.00: climate can reduce the operating hours in a mild region but never adds hours beyond the schedule you enter. The value for the region you picked is shown below as the Selected Value.</t>
  </si>
  <si>
    <t>El factor que se aplica a las Horas de Operación Anuales de cada región: los días grado de enfriamiento de la región divididos entre el promedio de las regiones, por (1 + el ajuste de humedad).
El factor tiene un máximo de 1.00: el clima puede reducir las horas de operación en una región templada, pero nunca agrega horas más allá del horario que usted ingresa. El valor de la región elegida se muestra abajo como Valor Seleccionado.</t>
  </si>
  <si>
    <t>O fator aplicado às Horas de Operação Anuais de cada região: os graus-dia de resfriamento da região divididos pela média das regiões, vezes (1 + o ajuste de umidade).
O fator tem um máximo de 1.00: o clima pode reduzir as horas de operação em uma região amena, mas nunca acrescenta horas além do horário informado. O valor da região escolhida é mostrado abaixo como Valor Selecionado.</t>
  </si>
  <si>
    <t>Le facteur appliqué aux Heures de Fonctionnement Annuelles de chaque région : les degrés-jours de refroidissement de la région divisés par la moyenne des régions, multipliés par (1 + l'ajustement d'humidité).
Le facteur est plafonné à 1.00 : le climat peut réduire les heures de fonctionnement dans une région clémente, mais n'ajoute jamais d'heures au-delà de l'horaire saisi. La valeur de la région choisie est affichée ci-dessous comme Valeur Sélectionnée.</t>
  </si>
  <si>
    <t>The multiplier for the Climate Region chosen above (never more than 1.00). It is applied to the Annual Operating Hours.</t>
  </si>
  <si>
    <t>El multiplicador de la Región Climática elegida arriba (nunca mayor que 1.00). Se aplica a las Horas de Operación Anuales.</t>
  </si>
  <si>
    <t>O multiplicador da Região Climática escolhida acima (nunca maior que 1.00). É aplicado às Horas de Operação Anuais.</t>
  </si>
  <si>
    <t>Le multiplicateur de la Région Climatique choisie ci-dessus (jamais supérieur à 1.00). Il s'applique aux Heures de Fonctionnement Annuelles.</t>
  </si>
  <si>
    <t>The hours per year the estimate treats the coil as operating: Operating Hours / Day x Days / Week x Weeks / Year, multiplied by the Climate Region multiplier (the Selected Value below, never more than 1.00).
The % of Operating Time table then splits these hours across the load points (Design, Peak, Low, Min). Each point's hours appear as Time [h] on Pump Savings.</t>
  </si>
  <si>
    <t>Las horas por año en que la estimación considera que la serpentina funciona: Horas de Operación / Día x Días / Semana x Semanas / Año, multiplicadas por el multiplicador de la Región Climática (el Valor Seleccionado más abajo, nunca mayor que 1.00).
La tabla de % del Tiempo de Operación reparte luego estas horas entre los puntos de carga (Diseño, Pico, Bajo, Mín). Las horas de cada punto aparecen como Tiempo [h] en Pump Savings.</t>
  </si>
  <si>
    <t>As horas por ano em que a estimativa considera que a serpentina funciona: Horas de Operação / Dia x Dias / Semana x Semanas / Ano, multiplicadas pelo multiplicador da Região Climática (o Valor Selecionado abaixo, nunca maior que 1.00).
A tabela de % do Tempo de Operação divide então essas horas entre os pontos de carga (Projeto, Pico, Baixo, Mín). As horas de cada ponto aparecem como Tempo [h] em Pump Savings.</t>
  </si>
  <si>
    <t>Le nombre d'heures par an pendant lesquelles l'estimation considère que la batterie fonctionne : Heures de Fonctionnement / Jour x Jours / Semaine x Semaines / An, multipliées par le multiplicateur de la Région Climatique (la Valeur Sélectionnée ci-dessous, jamais supérieure à 1.00).
Le tableau % du Temps de Fonctionnement répartit ensuite ces heures entre les points de charge (Conception, Pointe, Bas, Min). Les heures de chaque point apparaissent sous Temps [h] dans Pump Savings.</t>
  </si>
  <si>
    <t>El modelo de Energy Valve cuyo rango de caudal contiene el caudal de diseño de la serpentina (V'max), con su rango de caudal y tamaño de conexión. Por encima de 714 GPM la herramienta muestra EV Dobles.
Es una guía basada solo en V'max: confirme la selección final con la hoja de datos de la Energy Valve.</t>
  </si>
  <si>
    <t>O modelo de Energy Valve cujo intervalo de vazão contém a vazão de projeto da serpentina (V'max), com seu intervalo de vazão e tamanho de conexão. Acima de 714 GPM a ferramenta mostra EVs Duplas.
É uma orientação baseada apenas em V'max: confirme a seleção final na folha de dados da Energy Valve.</t>
  </si>
  <si>
    <t>Le modèle d'Energy Valve dont la plage de débit contient le débit de conception de la batterie (V'max), avec sa plage de débit et la taille de raccordement. Au-dessus de 714 GPM, l'outil affiche EV Doubles.
C'est un guide basé sur V'max seulement : confirmez le choix final avec la fiche technique de l'Energy Valve.</t>
  </si>
  <si>
    <t>$B$11</t>
  </si>
  <si>
    <t>Use the slider to change the Delta T of the savings line: click the arrow at either end, click beside the handle, or drag the handle. Each step is 2 degrees.</t>
  </si>
  <si>
    <t>Use el control deslizante para cambiar el Delta T de la línea de ahorro: haga clic en la flecha de cualquiera de los extremos, haga clic junto al control o arrástrelo. Cada paso es de 2 grados.</t>
  </si>
  <si>
    <t>Use o controle deslizante para alterar o Delta T da linha de economia: clique na seta de qualquer extremidade, clique ao lado do cursor ou arraste-o. Cada passo é de 2 graus.</t>
  </si>
  <si>
    <t>Utilisez le curseur pour modifier le Delta T de la ligne d'économies : cliquez sur la flèche à l'une ou l'autre extrémité, cliquez à côté du curseur ou faites-le glisser. Chaque pas est de 2 degrés.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</si>
</sst>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_(* #,##0_);_(* \(#,##0\);_(* &quot;-&quot;??_);_(@_)"/>
    <numFmt numFmtId="166" formatCode="0.0"/>
    <numFmt numFmtId="167" formatCode="&quot;$&quot;#,##0"/>
    <numFmt numFmtId="168" formatCode="&quot;$&quot;#,##0.00"/>
    <numFmt numFmtId="169" formatCode="0.000"/>
    <numFmt numFmtId="170" formatCode="&quot;$&quot;#,##0;\(&quot;$&quot;#,##0\)"/>
    <numFmt numFmtId="171" formatCode="#,##0.0"/>
  </numFmts>
  <fonts count="32">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Arial"/>
      <family val="2"/>
    </font>
    <font>
      <sz val="10"/>
      <name val="Arial"/>
      <family val="2"/>
    </font>
    <font>
      <sz val="10"/>
      <color theme="1"/>
      <name val="Arial"/>
      <family val="2"/>
    </font>
    <font>
      <b/>
      <sz val="10"/>
      <color theme="1"/>
      <name val="Arial"/>
      <family val="2"/>
    </font>
    <font>
      <b/>
      <sz val="10"/>
      <name val="Arial"/>
      <family val="2"/>
    </font>
    <font>
      <sz val="12"/>
      <color rgb="FF222222"/>
      <name val="Arial"/>
      <family val="2"/>
    </font>
    <font>
      <sz val="9.9"/>
      <color theme="1"/>
      <name val="Arial"/>
      <family val="2"/>
    </font>
    <font>
      <sz val="11"/>
      <color theme="0"/>
      <name val="Arial"/>
      <family val="2"/>
    </font>
    <font>
      <sz val="10"/>
      <color theme="0"/>
      <name val="Arial"/>
      <family val="2"/>
    </font>
    <font>
      <b/>
      <sz val="10"/>
      <color theme="0"/>
      <name val="Arial"/>
      <family val="2"/>
    </font>
    <font>
      <sz val="11"/>
      <color theme="1"/>
      <name val="CastleT"/>
      <family val="2"/>
    </font>
    <font>
      <b/>
      <sz val="10"/>
      <name val="Calibri"/>
      <family val="2"/>
    </font>
    <font>
      <sz val="10"/>
      <color indexed="12"/>
      <name val="Arial"/>
      <family val="2"/>
    </font>
    <font>
      <sz val="10"/>
      <color theme="5"/>
      <name val="Arial"/>
      <family val="2"/>
    </font>
    <font>
      <b/>
      <sz val="11"/>
      <color theme="1"/>
      <name val="Calibri"/>
      <family val="2"/>
      <scheme val="minor"/>
    </font>
    <font>
      <b/>
      <sz val="11"/>
      <color theme="1"/>
      <name val="Arial"/>
      <family val="2"/>
    </font>
    <font>
      <b/>
      <sz val="9"/>
      <color theme="1"/>
      <name val="Arial"/>
      <family val="2"/>
    </font>
    <font>
      <sz val="11"/>
      <name val="Comic Sans MS"/>
      <family val="4"/>
    </font>
    <font>
      <sz val="12"/>
      <name val="Comic Sans MS"/>
      <family val="4"/>
    </font>
    <font>
      <b/>
      <sz val="14"/>
      <name val="Comic Sans MS"/>
      <family val="4"/>
    </font>
    <font>
      <sz val="9"/>
      <color theme="1"/>
      <name val="Arial"/>
      <family val="2"/>
    </font>
    <font>
      <sz val="10"/>
      <color rgb="FF000000"/>
      <name val="Arial"/>
      <family val="2"/>
    </font>
    <font>
      <b/>
      <sz val="11"/>
      <color rgb="FF000000"/>
      <name val="Arial"/>
      <family val="2"/>
    </font>
    <font>
      <b/>
      <sz val="11"/>
      <name val="Arial"/>
      <family val="2"/>
    </font>
    <font>
      <i/>
      <sz val="9"/>
      <name val="Arial"/>
      <family val="2"/>
    </font>
  </fonts>
  <fills count="21">
    <fill>
      <patternFill patternType="none"/>
    </fill>
    <fill>
      <patternFill patternType="gray125"/>
    </fill>
    <fill>
      <patternFill patternType="solid">
        <fgColor rgb="FFEEF0F2"/>
        <bgColor indexed="64"/>
      </patternFill>
    </fill>
    <fill>
      <patternFill patternType="solid">
        <fgColor rgb="FFC3C8CE"/>
        <bgColor indexed="64"/>
      </patternFill>
    </fill>
    <fill>
      <patternFill patternType="solid">
        <fgColor theme="0"/>
        <bgColor indexed="64"/>
      </patternFill>
    </fill>
    <fill>
      <patternFill patternType="solid">
        <fgColor rgb="FFFF6600"/>
        <bgColor indexed="64"/>
      </patternFill>
    </fill>
    <fill>
      <patternFill patternType="solid">
        <fgColor rgb="FF000080"/>
        <bgColor indexed="64"/>
      </patternFill>
    </fill>
    <fill>
      <patternFill patternType="solid">
        <fgColor indexed="43"/>
        <bgColor indexed="64"/>
      </patternFill>
    </fill>
    <fill>
      <patternFill patternType="solid">
        <fgColor theme="4" tint="0.79998168889431442"/>
        <bgColor indexed="64"/>
      </patternFill>
    </fill>
    <fill>
      <patternFill patternType="solid">
        <fgColor rgb="FF99CCFF"/>
        <bgColor indexed="64"/>
      </patternFill>
    </fill>
    <fill>
      <patternFill patternType="solid">
        <fgColor indexed="44"/>
        <bgColor indexed="64"/>
      </patternFill>
    </fill>
    <fill>
      <patternFill patternType="solid">
        <fgColor indexed="10"/>
        <bgColor indexed="64"/>
      </patternFill>
    </fill>
    <fill>
      <patternFill patternType="solid">
        <fgColor rgb="FFFF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808080"/>
        <bgColor indexed="64"/>
      </patternFill>
    </fill>
    <fill>
      <patternFill patternType="solid">
        <fgColor rgb="FFFFFFFF"/>
        <bgColor indexed="64"/>
      </patternFill>
    </fill>
  </fills>
  <borders count="71">
    <border>
      <left/>
      <right/>
      <top/>
      <bottom/>
      <diagonal/>
    </border>
    <border>
      <left/>
      <right/>
      <top/>
      <bottom style="medium">
        <color rgb="FFFF6600"/>
      </bottom>
      <diagonal/>
    </border>
    <border>
      <left style="thin">
        <color rgb="FFB6B6B6"/>
      </left>
      <right/>
      <top style="thin">
        <color rgb="FFB6B6B6"/>
      </top>
      <bottom style="thin">
        <color rgb="FFD1D5D9"/>
      </bottom>
      <diagonal/>
    </border>
    <border>
      <left/>
      <right/>
      <top style="thin">
        <color rgb="FFB6B6B6"/>
      </top>
      <bottom style="thin">
        <color rgb="FFD1D5D9"/>
      </bottom>
      <diagonal/>
    </border>
    <border>
      <left/>
      <right style="thin">
        <color rgb="FFD1D5D9"/>
      </right>
      <top style="thin">
        <color rgb="FFB6B6B6"/>
      </top>
      <bottom style="thin">
        <color rgb="FFD1D5D9"/>
      </bottom>
      <diagonal/>
    </border>
    <border>
      <left style="thin">
        <color rgb="FFD6DBE0"/>
      </left>
      <right style="thin">
        <color rgb="FFD6DBE0"/>
      </right>
      <top style="thin">
        <color rgb="FFD6DBE0"/>
      </top>
      <bottom style="thin">
        <color rgb="FFE0E4E8"/>
      </bottom>
      <diagonal/>
    </border>
    <border>
      <left style="thin">
        <color rgb="FFB6B6B6"/>
      </left>
      <right style="thin">
        <color rgb="FFB6B6B6"/>
      </right>
      <top style="thin">
        <color rgb="FFB6B6B6"/>
      </top>
      <bottom style="thin">
        <color rgb="FFD1D5D9"/>
      </bottom>
      <diagonal/>
    </border>
    <border>
      <left style="thin">
        <color rgb="FFB6B6B6"/>
      </left>
      <right style="thin">
        <color rgb="FFD1D5D9"/>
      </right>
      <top/>
      <bottom style="thin">
        <color rgb="FFD1D5D9"/>
      </bottom>
      <diagonal/>
    </border>
    <border>
      <left style="thin">
        <color rgb="FFD1D5D9"/>
      </left>
      <right style="thin">
        <color rgb="FFD1D5D9"/>
      </right>
      <top/>
      <bottom style="thin">
        <color rgb="FFD1D5D9"/>
      </bottom>
      <diagonal/>
    </border>
    <border>
      <left style="thin">
        <color rgb="FFD6DBE0"/>
      </left>
      <right style="thin">
        <color rgb="FFD6DBE0"/>
      </right>
      <top style="thin">
        <color rgb="FFE0E4E8"/>
      </top>
      <bottom style="thin">
        <color rgb="FFE0E4E8"/>
      </bottom>
      <diagonal/>
    </border>
    <border>
      <left style="thin">
        <color rgb="FFB6B6B6"/>
      </left>
      <right style="thin">
        <color rgb="FFB6B6B6"/>
      </right>
      <top style="thin">
        <color rgb="FFD1D5D9"/>
      </top>
      <bottom style="thin">
        <color rgb="FFD1D5D9"/>
      </bottom>
      <diagonal/>
    </border>
    <border>
      <left style="thin">
        <color rgb="FFB6B6B6"/>
      </left>
      <right style="thin">
        <color rgb="FFD1D5D9"/>
      </right>
      <top style="thin">
        <color rgb="FFD1D5D9"/>
      </top>
      <bottom style="thin">
        <color rgb="FFD1D5D9"/>
      </bottom>
      <diagonal/>
    </border>
    <border>
      <left style="thin">
        <color rgb="FFD1D5D9"/>
      </left>
      <right style="thin">
        <color rgb="FFD1D5D9"/>
      </right>
      <top style="thin">
        <color rgb="FFD1D5D9"/>
      </top>
      <bottom style="thin">
        <color rgb="FFD1D5D9"/>
      </bottom>
      <diagonal/>
    </border>
    <border>
      <left style="thin">
        <color rgb="FFB6B6B6"/>
      </left>
      <right style="thin">
        <color rgb="FFB6B6B6"/>
      </right>
      <top style="thin">
        <color rgb="FFD1D5D9"/>
      </top>
      <bottom style="thin">
        <color theme="0" tint="-0.14996795556505021"/>
      </bottom>
      <diagonal/>
    </border>
    <border>
      <left style="thin">
        <color rgb="FFB6B6B6"/>
      </left>
      <right style="thin">
        <color rgb="FFB6B6B6"/>
      </right>
      <top/>
      <bottom style="thin">
        <color rgb="FFD1D5D9"/>
      </bottom>
      <diagonal/>
    </border>
    <border>
      <left style="thin">
        <color rgb="FFB6B6B6"/>
      </left>
      <right/>
      <top style="thin">
        <color rgb="FFD1D5D9"/>
      </top>
      <bottom style="thin">
        <color rgb="FFD1D5D9"/>
      </bottom>
      <diagonal/>
    </border>
    <border>
      <left/>
      <right/>
      <top style="thin">
        <color rgb="FFD1D5D9"/>
      </top>
      <bottom style="thin">
        <color rgb="FFD1D5D9"/>
      </bottom>
      <diagonal/>
    </border>
    <border>
      <left style="thin">
        <color rgb="FFB6B6B6"/>
      </left>
      <right/>
      <top style="thin">
        <color rgb="FFD1D5D9"/>
      </top>
      <bottom style="thin">
        <color rgb="FFB6B6B6"/>
      </bottom>
      <diagonal/>
    </border>
    <border>
      <left/>
      <right/>
      <top style="thin">
        <color rgb="FFD1D5D9"/>
      </top>
      <bottom style="thin">
        <color rgb="FFB6B6B6"/>
      </bottom>
      <diagonal/>
    </border>
    <border>
      <left style="thin">
        <color rgb="FFD6DBE0"/>
      </left>
      <right style="thin">
        <color rgb="FFD6DBE0"/>
      </right>
      <top style="thin">
        <color rgb="FFE0E4E8"/>
      </top>
      <bottom style="thin">
        <color rgb="FFD6DBE0"/>
      </bottom>
      <diagonal/>
    </border>
    <border>
      <left style="thin">
        <color rgb="FFB6B6B6"/>
      </left>
      <right style="thin">
        <color rgb="FFB6B6B6"/>
      </right>
      <top style="thin">
        <color rgb="FFD1D5D9"/>
      </top>
      <bottom style="thin">
        <color rgb="FFB6B6B6"/>
      </bottom>
      <diagonal/>
    </border>
    <border>
      <left style="thin">
        <color rgb="FFD6DBE0"/>
      </left>
      <right style="thin">
        <color rgb="FFD6DBE0"/>
      </right>
      <top style="thin">
        <color rgb="FFD6DBE0"/>
      </top>
      <bottom style="thin">
        <color rgb="FFB6B6B6"/>
      </bottom>
      <diagonal/>
    </border>
    <border>
      <left style="thin">
        <color rgb="FFB6B6B6"/>
      </left>
      <right style="thin">
        <color rgb="FFB6B6B6"/>
      </right>
      <top style="thin">
        <color rgb="FFB6B6B6"/>
      </top>
      <bottom style="thin">
        <color rgb="FFB6B6B6"/>
      </bottom>
      <diagonal/>
    </border>
    <border>
      <left/>
      <right/>
      <top style="thin">
        <color rgb="FFD1D5D9"/>
      </top>
      <bottom/>
      <diagonal/>
    </border>
    <border>
      <left style="thin">
        <color rgb="FFB6B6B6"/>
      </left>
      <right style="thin">
        <color rgb="FFB6B6B6"/>
      </right>
      <top style="double">
        <color rgb="FFB6B6B6"/>
      </top>
      <bottom style="medium">
        <color rgb="FFB6B6B6"/>
      </bottom>
      <diagonal/>
    </border>
    <border>
      <left/>
      <right/>
      <top/>
      <bottom style="thin">
        <color rgb="FFB6B6B6"/>
      </bottom>
      <diagonal/>
    </border>
    <border>
      <left style="thin">
        <color rgb="FFB6B6B6"/>
      </left>
      <right/>
      <top style="thin">
        <color rgb="FFB6B6B6"/>
      </top>
      <bottom style="thin">
        <color rgb="FFB6B6B6"/>
      </bottom>
      <diagonal/>
    </border>
    <border>
      <left/>
      <right/>
      <top style="thin">
        <color rgb="FFB6B6B6"/>
      </top>
      <bottom style="thin">
        <color rgb="FFB6B6B6"/>
      </bottom>
      <diagonal/>
    </border>
    <border>
      <left/>
      <right style="thin">
        <color rgb="FFB6B6B6"/>
      </right>
      <top style="thin">
        <color rgb="FFB6B6B6"/>
      </top>
      <bottom style="thin">
        <color rgb="FFB6B6B6"/>
      </bottom>
      <diagonal/>
    </border>
    <border>
      <left/>
      <right style="thin">
        <color rgb="FFB6B6B6"/>
      </right>
      <top style="thin">
        <color rgb="FFB6B6B6"/>
      </top>
      <bottom style="thin">
        <color rgb="FFD1D5D9"/>
      </bottom>
      <diagonal/>
    </border>
    <border>
      <left style="thin">
        <color rgb="FFB6B6B6"/>
      </left>
      <right style="thin">
        <color rgb="FFB6B6B6"/>
      </right>
      <top/>
      <bottom/>
      <diagonal/>
    </border>
    <border>
      <left style="thin">
        <color rgb="FFB6B6B6"/>
      </left>
      <right style="thin">
        <color rgb="FFB6B6B6"/>
      </right>
      <top style="thin">
        <color rgb="FFB6B6B6"/>
      </top>
      <bottom/>
      <diagonal/>
    </border>
    <border>
      <left style="thin">
        <color rgb="FFB6B6B6"/>
      </left>
      <right style="thin">
        <color rgb="FFB6B6B6"/>
      </right>
      <top/>
      <bottom style="thin">
        <color rgb="FFB6B6B6"/>
      </bottom>
      <diagonal/>
    </border>
    <border>
      <left/>
      <right style="thin">
        <color rgb="FFB6B6B6"/>
      </right>
      <top style="thin">
        <color rgb="FFB6B6B6"/>
      </top>
      <bottom/>
      <diagonal/>
    </border>
    <border>
      <left style="thin">
        <color rgb="FFB6B6B6"/>
      </left>
      <right style="thin">
        <color rgb="FFB6B6B6"/>
      </right>
      <top style="thin">
        <color rgb="FFB6B6B6"/>
      </top>
      <bottom style="double">
        <color rgb="FFB6B6B6"/>
      </bottom>
      <diagonal/>
    </border>
    <border>
      <left style="thin">
        <color rgb="FFB6B6B6"/>
      </left>
      <right/>
      <top style="double">
        <color rgb="FFB6B6B6"/>
      </top>
      <bottom style="thin">
        <color rgb="FFB6B6B6"/>
      </bottom>
      <diagonal/>
    </border>
    <border>
      <left/>
      <right/>
      <top style="double">
        <color rgb="FFB6B6B6"/>
      </top>
      <bottom style="thin">
        <color rgb="FFB6B6B6"/>
      </bottom>
      <diagonal/>
    </border>
    <border>
      <left/>
      <right style="thin">
        <color rgb="FFB6B6B6"/>
      </right>
      <top style="double">
        <color rgb="FFB6B6B6"/>
      </top>
      <bottom style="thin">
        <color rgb="FFB6B6B6"/>
      </bottom>
      <diagonal/>
    </border>
    <border>
      <left style="thin">
        <color rgb="FFFF6600"/>
      </left>
      <right/>
      <top style="thin">
        <color rgb="FFFF6600"/>
      </top>
      <bottom style="thin">
        <color rgb="FFFF6600"/>
      </bottom>
      <diagonal/>
    </border>
    <border>
      <left/>
      <right/>
      <top style="thin">
        <color rgb="FFFF6600"/>
      </top>
      <bottom style="thin">
        <color rgb="FFFF6600"/>
      </bottom>
      <diagonal/>
    </border>
    <border>
      <left/>
      <right style="thin">
        <color rgb="FFFF6600"/>
      </right>
      <top style="thin">
        <color rgb="FFFF6600"/>
      </top>
      <bottom style="thin">
        <color rgb="FFFF6600"/>
      </bottom>
      <diagonal/>
    </border>
    <border>
      <left style="thin">
        <color rgb="FFFF6600"/>
      </left>
      <right style="thin">
        <color rgb="FFFF6600"/>
      </right>
      <top style="thin">
        <color rgb="FFFF6600"/>
      </top>
      <bottom style="thin">
        <color rgb="FFFF6600"/>
      </bottom>
      <diagonal/>
    </border>
    <border>
      <left style="thin">
        <color rgb="FFD6DBE0"/>
      </left>
      <right/>
      <top/>
      <bottom style="thin">
        <color rgb="FFB6B6B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6B6B6"/>
      </left>
      <right/>
      <top style="thin">
        <color rgb="FFD1D5D9"/>
      </top>
      <bottom/>
      <diagonal/>
    </border>
    <border>
      <left style="thin">
        <color rgb="FFB6B6B6"/>
      </left>
      <right/>
      <top/>
      <bottom/>
      <diagonal/>
    </border>
    <border>
      <left style="thin">
        <color rgb="FFD6DBE0"/>
      </left>
      <right style="thin">
        <color rgb="FFD6DBE0"/>
      </right>
      <top style="thin">
        <color rgb="FFD6DBE0"/>
      </top>
      <bottom style="thin">
        <color rgb="FFD6DBE0"/>
      </bottom>
      <diagonal/>
    </border>
    <border>
      <left style="thin">
        <color rgb="FFFF6600"/>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D6DBE0"/>
      </left>
      <right style="thin">
        <color rgb="FFD6DBE0"/>
      </right>
      <top/>
      <bottom style="thin">
        <color rgb="FFD6DBE0"/>
      </bottom>
      <diagonal/>
    </border>
    <border>
      <left style="thin">
        <color rgb="FFFF6600"/>
      </left>
      <right style="thin">
        <color rgb="FFFF6600"/>
      </right>
      <top style="thin">
        <color rgb="FFFF6600"/>
      </top>
      <bottom style="thin">
        <color rgb="FFD6DBE0"/>
      </bottom>
      <diagonal/>
    </border>
    <border>
      <left style="thin">
        <color rgb="FFFF6600"/>
      </left>
      <right style="thin">
        <color rgb="FFFF6600"/>
      </right>
      <top style="thin">
        <color rgb="FFB6B6B6"/>
      </top>
      <bottom style="thin">
        <color rgb="FFFF6600"/>
      </bottom>
      <diagonal/>
    </border>
    <border>
      <left style="thin">
        <color auto="1"/>
      </left>
      <right style="thin">
        <color auto="1"/>
      </right>
      <top/>
      <bottom style="thin">
        <color auto="1"/>
      </bottom>
      <diagonal/>
    </border>
    <border>
      <left/>
      <right style="thin">
        <color rgb="FFB6B6B6"/>
      </right>
      <top style="double">
        <color rgb="FFB6B6B6"/>
      </top>
      <bottom/>
      <diagonal/>
    </border>
    <border>
      <left style="thin">
        <color rgb="FFD6DBE0"/>
      </left>
      <right/>
      <top/>
      <bottom/>
      <diagonal/>
    </border>
    <border>
      <left style="double">
        <color rgb="FFFF6600"/>
      </left>
      <right/>
      <top style="double">
        <color rgb="FFFF6600"/>
      </top>
      <bottom/>
      <diagonal/>
    </border>
    <border>
      <left/>
      <right/>
      <top style="double">
        <color rgb="FFFF6600"/>
      </top>
      <bottom/>
      <diagonal/>
    </border>
    <border>
      <left/>
      <right style="double">
        <color rgb="FFFF6600"/>
      </right>
      <top style="double">
        <color rgb="FFFF6600"/>
      </top>
      <bottom/>
      <diagonal/>
    </border>
    <border>
      <left style="double">
        <color rgb="FFFF6600"/>
      </left>
      <right/>
      <top/>
      <bottom/>
      <diagonal/>
    </border>
    <border>
      <left/>
      <right style="double">
        <color rgb="FFFF6600"/>
      </right>
      <top/>
      <bottom/>
      <diagonal/>
    </border>
    <border>
      <left style="double">
        <color rgb="FFFF6600"/>
      </left>
      <right/>
      <top/>
      <bottom style="double">
        <color rgb="FFFF6600"/>
      </bottom>
      <diagonal/>
    </border>
    <border>
      <left/>
      <right/>
      <top/>
      <bottom style="double">
        <color rgb="FFFF6600"/>
      </bottom>
      <diagonal/>
    </border>
    <border>
      <left/>
      <right style="double">
        <color rgb="FFFF6600"/>
      </right>
      <top/>
      <bottom style="double">
        <color rgb="FFFF6600"/>
      </bottom>
      <diagonal/>
    </border>
    <border>
      <left style="thin">
        <color theme="0" tint="-0.24994659260841701"/>
      </left>
      <right style="thin">
        <color theme="0" tint="-0.24994659260841701"/>
      </right>
      <top style="thin">
        <color theme="0" tint="-4.9989318521683403E-2"/>
      </top>
      <bottom style="thin">
        <color theme="0" tint="-4.9989318521683403E-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theme="0" tint="-0.14996795556505021"/>
      </bottom>
      <diagonal/>
    </border>
    <border>
      <left/>
      <right/>
      <top style="thin">
        <color theme="0" tint="-0.14996795556505021"/>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7">
    <xf numFmtId="0" fontId="0" fillId="0" borderId="0"/>
    <xf numFmtId="0" fontId="6" fillId="0" borderId="0"/>
    <xf numFmtId="9" fontId="6" fillId="0" borderId="0" applyFont="0" applyFill="0" applyBorder="0" applyAlignment="0" applyProtection="0"/>
    <xf numFmtId="0" fontId="17" fillId="0" borderId="0"/>
    <xf numFmtId="9" fontId="8" fillId="0" borderId="0" applyFont="0" applyFill="0" applyBorder="0" applyAlignment="0" applyProtection="0"/>
    <xf numFmtId="0" fontId="5" fillId="0" borderId="0"/>
    <xf numFmtId="0" fontId="8" fillId="0" borderId="0"/>
  </cellStyleXfs>
  <cellXfs count="352">
    <xf numFmtId="0" fontId="0" fillId="0" borderId="0" xfId="0"/>
    <xf numFmtId="0" fontId="7" fillId="2" borderId="0" xfId="1" applyFont="1" applyFill="1"/>
    <xf numFmtId="0" fontId="7" fillId="2" borderId="0" xfId="1" applyFont="1" applyFill="1" applyAlignment="1">
      <alignment horizontal="center"/>
    </xf>
    <xf numFmtId="2" fontId="9" fillId="2" borderId="5" xfId="0" applyNumberFormat="1" applyFont="1" applyFill="1" applyBorder="1" applyAlignment="1" applyProtection="1">
      <alignment horizontal="center"/>
      <protection locked="0"/>
    </xf>
    <xf numFmtId="0" fontId="9" fillId="3" borderId="6" xfId="0" applyFont="1" applyFill="1" applyBorder="1" applyAlignment="1">
      <alignment horizontal="center"/>
    </xf>
    <xf numFmtId="0" fontId="7" fillId="4" borderId="0" xfId="1" applyFont="1" applyFill="1"/>
    <xf numFmtId="0" fontId="8" fillId="3" borderId="8" xfId="0" applyFont="1" applyFill="1" applyBorder="1" applyAlignment="1">
      <alignment horizontal="left" indent="1"/>
    </xf>
    <xf numFmtId="0" fontId="9" fillId="2" borderId="9" xfId="0" applyFont="1" applyFill="1" applyBorder="1" applyAlignment="1" applyProtection="1">
      <alignment horizontal="center"/>
      <protection locked="0"/>
    </xf>
    <xf numFmtId="0" fontId="9" fillId="3" borderId="10" xfId="0" applyFont="1" applyFill="1" applyBorder="1" applyAlignment="1">
      <alignment horizontal="center"/>
    </xf>
    <xf numFmtId="0" fontId="8" fillId="3" borderId="11" xfId="0" applyFont="1" applyFill="1" applyBorder="1"/>
    <xf numFmtId="0" fontId="8" fillId="3" borderId="12" xfId="0" applyFont="1" applyFill="1" applyBorder="1" applyAlignment="1">
      <alignment horizontal="left" indent="1"/>
    </xf>
    <xf numFmtId="0" fontId="9" fillId="3" borderId="13" xfId="0" applyFont="1" applyFill="1" applyBorder="1" applyAlignment="1">
      <alignment horizontal="center"/>
    </xf>
    <xf numFmtId="0" fontId="9" fillId="3" borderId="11" xfId="0" applyFont="1" applyFill="1" applyBorder="1"/>
    <xf numFmtId="0" fontId="9" fillId="3" borderId="12" xfId="0" applyFont="1" applyFill="1" applyBorder="1" applyAlignment="1">
      <alignment horizontal="left" indent="1"/>
    </xf>
    <xf numFmtId="0" fontId="9" fillId="3" borderId="14" xfId="0" applyFont="1" applyFill="1" applyBorder="1" applyAlignment="1">
      <alignment horizontal="center"/>
    </xf>
    <xf numFmtId="0" fontId="8" fillId="3" borderId="15" xfId="0" applyFont="1" applyFill="1" applyBorder="1"/>
    <xf numFmtId="0" fontId="8" fillId="3" borderId="16" xfId="0" applyFont="1" applyFill="1" applyBorder="1" applyAlignment="1">
      <alignment horizontal="left" indent="1"/>
    </xf>
    <xf numFmtId="9" fontId="9" fillId="3" borderId="10" xfId="2" applyFont="1" applyFill="1" applyBorder="1" applyAlignment="1" applyProtection="1">
      <alignment horizontal="center"/>
    </xf>
    <xf numFmtId="0" fontId="7" fillId="4" borderId="0" xfId="1" applyFont="1" applyFill="1" applyAlignment="1">
      <alignment horizontal="center"/>
    </xf>
    <xf numFmtId="9" fontId="8" fillId="3" borderId="17" xfId="2" applyFont="1" applyFill="1" applyBorder="1" applyAlignment="1" applyProtection="1"/>
    <xf numFmtId="9" fontId="8" fillId="3" borderId="18" xfId="2" applyFont="1" applyFill="1" applyBorder="1" applyAlignment="1" applyProtection="1">
      <alignment horizontal="left" indent="1"/>
    </xf>
    <xf numFmtId="0" fontId="9" fillId="3" borderId="20" xfId="0" applyFont="1" applyFill="1" applyBorder="1" applyAlignment="1">
      <alignment horizontal="center"/>
    </xf>
    <xf numFmtId="1" fontId="9" fillId="3" borderId="6" xfId="1" applyNumberFormat="1" applyFont="1" applyFill="1" applyBorder="1" applyAlignment="1">
      <alignment horizontal="left"/>
    </xf>
    <xf numFmtId="1" fontId="9" fillId="3" borderId="6" xfId="1" applyNumberFormat="1" applyFont="1" applyFill="1" applyBorder="1" applyAlignment="1">
      <alignment horizontal="center"/>
    </xf>
    <xf numFmtId="0" fontId="9" fillId="2" borderId="21" xfId="1" applyFont="1" applyFill="1" applyBorder="1" applyAlignment="1">
      <alignment horizontal="center"/>
    </xf>
    <xf numFmtId="1" fontId="9" fillId="3" borderId="22" xfId="1" applyNumberFormat="1" applyFont="1" applyFill="1" applyBorder="1" applyAlignment="1">
      <alignment horizontal="center"/>
    </xf>
    <xf numFmtId="0" fontId="9" fillId="3" borderId="22" xfId="1" applyFont="1" applyFill="1" applyBorder="1" applyAlignment="1">
      <alignment horizontal="center"/>
    </xf>
    <xf numFmtId="1" fontId="10" fillId="3" borderId="6" xfId="1" applyNumberFormat="1" applyFont="1" applyFill="1" applyBorder="1" applyAlignment="1">
      <alignment horizontal="left"/>
    </xf>
    <xf numFmtId="1" fontId="9" fillId="3" borderId="0" xfId="1" applyNumberFormat="1" applyFont="1" applyFill="1" applyAlignment="1">
      <alignment horizontal="center"/>
    </xf>
    <xf numFmtId="0" fontId="10" fillId="4" borderId="0" xfId="1" applyFont="1" applyFill="1" applyAlignment="1">
      <alignment horizontal="center"/>
    </xf>
    <xf numFmtId="9" fontId="9" fillId="3" borderId="6" xfId="2" applyFont="1" applyFill="1" applyBorder="1" applyAlignment="1" applyProtection="1">
      <alignment horizontal="center"/>
    </xf>
    <xf numFmtId="164" fontId="9" fillId="2" borderId="5" xfId="2" applyNumberFormat="1" applyFont="1" applyFill="1" applyBorder="1" applyAlignment="1" applyProtection="1">
      <alignment horizontal="center"/>
      <protection locked="0"/>
    </xf>
    <xf numFmtId="1" fontId="9" fillId="3" borderId="24" xfId="1" applyNumberFormat="1" applyFont="1" applyFill="1" applyBorder="1" applyAlignment="1">
      <alignment horizontal="center"/>
    </xf>
    <xf numFmtId="0" fontId="9" fillId="4" borderId="0" xfId="1" applyFont="1" applyFill="1" applyAlignment="1">
      <alignment horizontal="center"/>
    </xf>
    <xf numFmtId="1" fontId="9" fillId="3" borderId="26" xfId="1" applyNumberFormat="1" applyFont="1" applyFill="1" applyBorder="1" applyAlignment="1">
      <alignment horizontal="center"/>
    </xf>
    <xf numFmtId="9" fontId="8" fillId="3" borderId="22" xfId="1" applyNumberFormat="1" applyFont="1" applyFill="1" applyBorder="1" applyAlignment="1">
      <alignment horizontal="center"/>
    </xf>
    <xf numFmtId="2" fontId="9" fillId="3" borderId="29" xfId="1" applyNumberFormat="1" applyFont="1" applyFill="1" applyBorder="1" applyAlignment="1">
      <alignment horizontal="center"/>
    </xf>
    <xf numFmtId="9" fontId="8" fillId="3" borderId="30" xfId="1" applyNumberFormat="1" applyFont="1" applyFill="1" applyBorder="1" applyAlignment="1">
      <alignment horizontal="center"/>
    </xf>
    <xf numFmtId="9" fontId="8" fillId="3" borderId="31" xfId="1" applyNumberFormat="1" applyFont="1" applyFill="1" applyBorder="1" applyAlignment="1">
      <alignment horizontal="center"/>
    </xf>
    <xf numFmtId="1" fontId="8" fillId="3" borderId="22" xfId="1" applyNumberFormat="1" applyFont="1" applyFill="1" applyBorder="1" applyAlignment="1">
      <alignment horizontal="center"/>
    </xf>
    <xf numFmtId="9" fontId="8" fillId="3" borderId="32" xfId="1" applyNumberFormat="1" applyFont="1" applyFill="1" applyBorder="1" applyAlignment="1">
      <alignment horizontal="center"/>
    </xf>
    <xf numFmtId="2" fontId="9" fillId="3" borderId="33" xfId="1" applyNumberFormat="1" applyFont="1" applyFill="1" applyBorder="1" applyAlignment="1">
      <alignment horizontal="center"/>
    </xf>
    <xf numFmtId="1" fontId="9" fillId="2" borderId="26" xfId="1" applyNumberFormat="1" applyFont="1" applyFill="1" applyBorder="1" applyAlignment="1" applyProtection="1">
      <alignment horizontal="center"/>
      <protection locked="0"/>
    </xf>
    <xf numFmtId="9" fontId="9" fillId="2" borderId="34" xfId="1" applyNumberFormat="1" applyFont="1" applyFill="1" applyBorder="1" applyAlignment="1" applyProtection="1">
      <alignment horizontal="center"/>
      <protection locked="0"/>
    </xf>
    <xf numFmtId="2" fontId="9" fillId="3" borderId="34" xfId="1" applyNumberFormat="1" applyFont="1" applyFill="1" applyBorder="1" applyAlignment="1">
      <alignment horizontal="center"/>
    </xf>
    <xf numFmtId="9" fontId="9" fillId="3" borderId="24" xfId="2" applyFont="1" applyFill="1" applyBorder="1" applyAlignment="1" applyProtection="1">
      <alignment horizontal="center"/>
    </xf>
    <xf numFmtId="2" fontId="9" fillId="3" borderId="24" xfId="1" applyNumberFormat="1" applyFont="1" applyFill="1" applyBorder="1" applyAlignment="1">
      <alignment horizontal="center"/>
    </xf>
    <xf numFmtId="0" fontId="9" fillId="2" borderId="0" xfId="1" applyFont="1" applyFill="1"/>
    <xf numFmtId="0" fontId="9" fillId="2" borderId="1" xfId="1" applyFont="1" applyFill="1" applyBorder="1"/>
    <xf numFmtId="0" fontId="9" fillId="4" borderId="0" xfId="1" applyFont="1" applyFill="1"/>
    <xf numFmtId="0" fontId="14" fillId="5" borderId="38" xfId="1" applyFont="1" applyFill="1" applyBorder="1"/>
    <xf numFmtId="0" fontId="15" fillId="5" borderId="39" xfId="1" applyFont="1" applyFill="1" applyBorder="1"/>
    <xf numFmtId="0" fontId="15" fillId="5" borderId="40" xfId="1" applyFont="1" applyFill="1" applyBorder="1"/>
    <xf numFmtId="0" fontId="9" fillId="3" borderId="22" xfId="1" applyFont="1" applyFill="1" applyBorder="1" applyAlignment="1">
      <alignment horizontal="center" vertical="center"/>
    </xf>
    <xf numFmtId="0" fontId="10" fillId="4" borderId="0" xfId="1" applyFont="1" applyFill="1" applyAlignment="1">
      <alignment horizontal="left"/>
    </xf>
    <xf numFmtId="0" fontId="10" fillId="4" borderId="0" xfId="1" applyFont="1" applyFill="1"/>
    <xf numFmtId="0" fontId="9" fillId="3" borderId="6" xfId="1" applyFont="1" applyFill="1" applyBorder="1" applyAlignment="1">
      <alignment horizontal="center"/>
    </xf>
    <xf numFmtId="166" fontId="9" fillId="3" borderId="6" xfId="2" applyNumberFormat="1" applyFont="1" applyFill="1" applyBorder="1" applyAlignment="1" applyProtection="1">
      <alignment horizontal="center"/>
    </xf>
    <xf numFmtId="166" fontId="9" fillId="3" borderId="6" xfId="1" applyNumberFormat="1" applyFont="1" applyFill="1" applyBorder="1" applyAlignment="1">
      <alignment horizontal="center"/>
    </xf>
    <xf numFmtId="167" fontId="10" fillId="3" borderId="22" xfId="1" applyNumberFormat="1" applyFont="1" applyFill="1" applyBorder="1" applyAlignment="1">
      <alignment horizontal="center"/>
    </xf>
    <xf numFmtId="0" fontId="10" fillId="4" borderId="0" xfId="1" applyFont="1" applyFill="1" applyAlignment="1">
      <alignment horizontal="center" vertical="center"/>
    </xf>
    <xf numFmtId="1" fontId="9" fillId="3" borderId="6" xfId="2" applyNumberFormat="1" applyFont="1" applyFill="1" applyBorder="1" applyAlignment="1" applyProtection="1">
      <alignment horizontal="center"/>
    </xf>
    <xf numFmtId="49" fontId="9" fillId="4" borderId="0" xfId="1" applyNumberFormat="1" applyFont="1" applyFill="1"/>
    <xf numFmtId="1" fontId="9" fillId="4" borderId="0" xfId="1" applyNumberFormat="1" applyFont="1" applyFill="1"/>
    <xf numFmtId="0" fontId="15" fillId="5" borderId="41" xfId="1" applyFont="1" applyFill="1" applyBorder="1"/>
    <xf numFmtId="0" fontId="9" fillId="4" borderId="0" xfId="1" applyFont="1" applyFill="1" applyAlignment="1">
      <alignment wrapText="1"/>
    </xf>
    <xf numFmtId="1" fontId="9" fillId="4" borderId="0" xfId="1" applyNumberFormat="1" applyFont="1" applyFill="1" applyAlignment="1">
      <alignment horizontal="center"/>
    </xf>
    <xf numFmtId="0" fontId="14" fillId="0" borderId="0" xfId="1" applyFont="1"/>
    <xf numFmtId="0" fontId="15" fillId="0" borderId="0" xfId="1" applyFont="1"/>
    <xf numFmtId="0" fontId="9" fillId="0" borderId="0" xfId="1" applyFont="1" applyAlignment="1">
      <alignment horizontal="center"/>
    </xf>
    <xf numFmtId="0" fontId="9" fillId="2" borderId="42" xfId="1" applyFont="1" applyFill="1" applyBorder="1" applyAlignment="1">
      <alignment horizontal="center" vertical="center"/>
    </xf>
    <xf numFmtId="0" fontId="9" fillId="2" borderId="0" xfId="1" applyFont="1" applyFill="1" applyAlignment="1">
      <alignment horizontal="center"/>
    </xf>
    <xf numFmtId="2" fontId="9" fillId="2" borderId="0" xfId="1" applyNumberFormat="1" applyFont="1" applyFill="1" applyAlignment="1">
      <alignment horizontal="center"/>
    </xf>
    <xf numFmtId="0" fontId="9" fillId="0" borderId="46" xfId="3" applyFont="1" applyBorder="1"/>
    <xf numFmtId="0" fontId="9" fillId="7" borderId="46" xfId="3" applyFont="1" applyFill="1" applyBorder="1"/>
    <xf numFmtId="0" fontId="9" fillId="8" borderId="46" xfId="3" applyFont="1" applyFill="1" applyBorder="1"/>
    <xf numFmtId="0" fontId="9" fillId="9" borderId="46" xfId="3" applyFont="1" applyFill="1" applyBorder="1"/>
    <xf numFmtId="0" fontId="11" fillId="9" borderId="46" xfId="3" applyFont="1" applyFill="1" applyBorder="1"/>
    <xf numFmtId="0" fontId="11" fillId="9" borderId="46" xfId="0" applyFont="1" applyFill="1" applyBorder="1" applyAlignment="1">
      <alignment horizontal="center"/>
    </xf>
    <xf numFmtId="2" fontId="9" fillId="0" borderId="46" xfId="3" applyNumberFormat="1" applyFont="1" applyBorder="1"/>
    <xf numFmtId="2" fontId="9" fillId="7" borderId="46" xfId="3" applyNumberFormat="1" applyFont="1" applyFill="1" applyBorder="1"/>
    <xf numFmtId="0" fontId="9" fillId="8" borderId="46" xfId="3" applyFont="1" applyFill="1" applyBorder="1" applyAlignment="1">
      <alignment horizontal="center"/>
    </xf>
    <xf numFmtId="0" fontId="9" fillId="10" borderId="46" xfId="3" applyFont="1" applyFill="1" applyBorder="1" applyAlignment="1">
      <alignment horizontal="center"/>
    </xf>
    <xf numFmtId="0" fontId="0" fillId="9" borderId="46" xfId="0" applyFill="1" applyBorder="1"/>
    <xf numFmtId="0" fontId="9" fillId="10" borderId="46" xfId="3" applyFont="1" applyFill="1" applyBorder="1"/>
    <xf numFmtId="2" fontId="19" fillId="0" borderId="46" xfId="3" applyNumberFormat="1" applyFont="1" applyBorder="1"/>
    <xf numFmtId="2" fontId="19" fillId="7" borderId="46" xfId="3" applyNumberFormat="1" applyFont="1" applyFill="1" applyBorder="1"/>
    <xf numFmtId="1" fontId="10" fillId="11" borderId="46" xfId="3" applyNumberFormat="1" applyFont="1" applyFill="1" applyBorder="1" applyAlignment="1">
      <alignment horizontal="center"/>
    </xf>
    <xf numFmtId="0" fontId="11" fillId="12" borderId="46" xfId="0" applyFont="1" applyFill="1" applyBorder="1" applyAlignment="1">
      <alignment horizontal="center"/>
    </xf>
    <xf numFmtId="1" fontId="9" fillId="11" borderId="46" xfId="3" applyNumberFormat="1" applyFont="1" applyFill="1" applyBorder="1"/>
    <xf numFmtId="0" fontId="11" fillId="8" borderId="46" xfId="3" applyFont="1" applyFill="1" applyBorder="1" applyAlignment="1">
      <alignment horizontal="center"/>
    </xf>
    <xf numFmtId="0" fontId="11" fillId="10" borderId="46" xfId="3" applyFont="1" applyFill="1" applyBorder="1" applyAlignment="1">
      <alignment horizontal="center"/>
    </xf>
    <xf numFmtId="0" fontId="8" fillId="10" borderId="46" xfId="3" applyFont="1" applyFill="1" applyBorder="1"/>
    <xf numFmtId="1" fontId="9" fillId="0" borderId="46" xfId="3" applyNumberFormat="1" applyFont="1" applyBorder="1"/>
    <xf numFmtId="164" fontId="9" fillId="8" borderId="46" xfId="3" applyNumberFormat="1" applyFont="1" applyFill="1" applyBorder="1"/>
    <xf numFmtId="164" fontId="9" fillId="9" borderId="46" xfId="3" applyNumberFormat="1" applyFont="1" applyFill="1" applyBorder="1"/>
    <xf numFmtId="4" fontId="9" fillId="8" borderId="46" xfId="3" applyNumberFormat="1" applyFont="1" applyFill="1" applyBorder="1"/>
    <xf numFmtId="4" fontId="9" fillId="10" borderId="46" xfId="3" applyNumberFormat="1" applyFont="1" applyFill="1" applyBorder="1"/>
    <xf numFmtId="3" fontId="0" fillId="9" borderId="46" xfId="0" applyNumberFormat="1" applyFill="1" applyBorder="1"/>
    <xf numFmtId="164" fontId="9" fillId="0" borderId="46" xfId="3" applyNumberFormat="1" applyFont="1" applyBorder="1"/>
    <xf numFmtId="4" fontId="0" fillId="0" borderId="0" xfId="0" applyNumberFormat="1"/>
    <xf numFmtId="0" fontId="20" fillId="3" borderId="7" xfId="0" applyFont="1" applyFill="1" applyBorder="1"/>
    <xf numFmtId="0" fontId="20" fillId="3" borderId="15" xfId="0" applyFont="1" applyFill="1" applyBorder="1"/>
    <xf numFmtId="3" fontId="9" fillId="3" borderId="32" xfId="1" applyNumberFormat="1" applyFont="1" applyFill="1" applyBorder="1" applyAlignment="1">
      <alignment horizontal="center"/>
    </xf>
    <xf numFmtId="3" fontId="9" fillId="3" borderId="22" xfId="1" applyNumberFormat="1" applyFont="1" applyFill="1" applyBorder="1" applyAlignment="1">
      <alignment horizontal="center"/>
    </xf>
    <xf numFmtId="1" fontId="9" fillId="0" borderId="0" xfId="1" applyNumberFormat="1" applyFont="1" applyAlignment="1">
      <alignment horizontal="center"/>
    </xf>
    <xf numFmtId="167" fontId="10" fillId="3" borderId="26" xfId="1" applyNumberFormat="1" applyFont="1" applyFill="1" applyBorder="1" applyAlignment="1">
      <alignment horizontal="center"/>
    </xf>
    <xf numFmtId="1" fontId="9" fillId="3" borderId="31" xfId="1" applyNumberFormat="1" applyFont="1" applyFill="1" applyBorder="1" applyAlignment="1">
      <alignment horizontal="center"/>
    </xf>
    <xf numFmtId="3" fontId="9" fillId="4" borderId="0" xfId="1" applyNumberFormat="1" applyFont="1" applyFill="1"/>
    <xf numFmtId="3" fontId="9" fillId="3" borderId="49" xfId="1" applyNumberFormat="1" applyFont="1" applyFill="1" applyBorder="1" applyAlignment="1">
      <alignment horizontal="center"/>
    </xf>
    <xf numFmtId="3" fontId="9" fillId="4" borderId="0" xfId="1" applyNumberFormat="1" applyFont="1" applyFill="1" applyAlignment="1">
      <alignment horizontal="center"/>
    </xf>
    <xf numFmtId="166" fontId="9" fillId="4" borderId="0" xfId="1" applyNumberFormat="1" applyFont="1" applyFill="1" applyAlignment="1">
      <alignment horizontal="center"/>
    </xf>
    <xf numFmtId="3" fontId="9" fillId="0" borderId="0" xfId="1" applyNumberFormat="1" applyFont="1" applyAlignment="1">
      <alignment horizontal="center"/>
    </xf>
    <xf numFmtId="0" fontId="9" fillId="0" borderId="0" xfId="1" applyFont="1"/>
    <xf numFmtId="0" fontId="10" fillId="0" borderId="0" xfId="1" applyFont="1" applyAlignment="1">
      <alignment horizontal="center"/>
    </xf>
    <xf numFmtId="166" fontId="9" fillId="0" borderId="0" xfId="1" applyNumberFormat="1" applyFont="1" applyAlignment="1">
      <alignment horizontal="center"/>
    </xf>
    <xf numFmtId="3" fontId="9" fillId="0" borderId="0" xfId="4" applyNumberFormat="1" applyFont="1" applyFill="1" applyBorder="1" applyAlignment="1">
      <alignment horizontal="center"/>
    </xf>
    <xf numFmtId="166" fontId="9" fillId="0" borderId="0" xfId="2" applyNumberFormat="1" applyFont="1" applyFill="1" applyBorder="1" applyAlignment="1" applyProtection="1">
      <alignment horizontal="center"/>
    </xf>
    <xf numFmtId="9" fontId="9" fillId="0" borderId="0" xfId="4" applyFont="1" applyFill="1" applyBorder="1" applyAlignment="1">
      <alignment horizontal="center"/>
    </xf>
    <xf numFmtId="3" fontId="9" fillId="3" borderId="6" xfId="1" applyNumberFormat="1" applyFont="1" applyFill="1" applyBorder="1" applyAlignment="1">
      <alignment horizontal="center"/>
    </xf>
    <xf numFmtId="9" fontId="9" fillId="3" borderId="51" xfId="4" applyFont="1" applyFill="1" applyBorder="1" applyAlignment="1">
      <alignment horizontal="center"/>
    </xf>
    <xf numFmtId="3" fontId="9" fillId="3" borderId="51" xfId="4" applyNumberFormat="1" applyFont="1" applyFill="1" applyBorder="1" applyAlignment="1">
      <alignment horizontal="center"/>
    </xf>
    <xf numFmtId="167" fontId="10" fillId="3" borderId="51" xfId="1" applyNumberFormat="1" applyFont="1" applyFill="1" applyBorder="1" applyAlignment="1">
      <alignment horizontal="center"/>
    </xf>
    <xf numFmtId="0" fontId="21" fillId="0" borderId="0" xfId="5" applyFont="1"/>
    <xf numFmtId="0" fontId="21" fillId="0" borderId="0" xfId="5" applyFont="1" applyAlignment="1">
      <alignment wrapText="1"/>
    </xf>
    <xf numFmtId="0" fontId="8" fillId="0" borderId="0" xfId="6"/>
    <xf numFmtId="0" fontId="0" fillId="0" borderId="0" xfId="5" applyFont="1"/>
    <xf numFmtId="0" fontId="0" fillId="0" borderId="0" xfId="5" applyFont="1" applyAlignment="1">
      <alignment wrapText="1"/>
    </xf>
    <xf numFmtId="0" fontId="5" fillId="0" borderId="0" xfId="5" applyAlignment="1">
      <alignment wrapText="1"/>
    </xf>
    <xf numFmtId="0" fontId="8" fillId="0" borderId="0" xfId="6" applyAlignment="1">
      <alignment wrapText="1"/>
    </xf>
    <xf numFmtId="9" fontId="9" fillId="2" borderId="53" xfId="2" applyFont="1" applyFill="1" applyBorder="1" applyAlignment="1" applyProtection="1">
      <alignment horizontal="center"/>
      <protection locked="0"/>
    </xf>
    <xf numFmtId="1" fontId="9" fillId="2" borderId="12" xfId="1" applyNumberFormat="1" applyFont="1" applyFill="1" applyBorder="1" applyAlignment="1" applyProtection="1">
      <alignment horizontal="center"/>
      <protection locked="0"/>
    </xf>
    <xf numFmtId="1" fontId="9" fillId="2" borderId="54" xfId="1" applyNumberFormat="1" applyFont="1" applyFill="1" applyBorder="1" applyAlignment="1">
      <alignment horizontal="center"/>
    </xf>
    <xf numFmtId="0" fontId="7" fillId="0" borderId="0" xfId="1" applyFont="1"/>
    <xf numFmtId="0" fontId="7" fillId="0" borderId="0" xfId="1" applyFont="1" applyAlignment="1">
      <alignment horizontal="center"/>
    </xf>
    <xf numFmtId="0" fontId="7" fillId="0" borderId="0" xfId="1" applyFont="1" applyAlignment="1">
      <alignment vertical="center"/>
    </xf>
    <xf numFmtId="0" fontId="7" fillId="0" borderId="0" xfId="1" applyFont="1" applyAlignment="1">
      <alignment horizontal="center" vertical="center"/>
    </xf>
    <xf numFmtId="1" fontId="10" fillId="2" borderId="0" xfId="1" applyNumberFormat="1" applyFont="1" applyFill="1" applyAlignment="1">
      <alignment horizontal="right"/>
    </xf>
    <xf numFmtId="165" fontId="7" fillId="2" borderId="0" xfId="1" applyNumberFormat="1" applyFont="1" applyFill="1"/>
    <xf numFmtId="2" fontId="11" fillId="2" borderId="0" xfId="1" applyNumberFormat="1" applyFont="1" applyFill="1"/>
    <xf numFmtId="0" fontId="13" fillId="2" borderId="0" xfId="1" applyFont="1" applyFill="1"/>
    <xf numFmtId="9" fontId="8" fillId="2" borderId="0" xfId="2" applyFont="1" applyFill="1" applyBorder="1" applyAlignment="1" applyProtection="1"/>
    <xf numFmtId="9" fontId="8" fillId="2" borderId="0" xfId="2" applyFont="1" applyFill="1" applyBorder="1" applyAlignment="1" applyProtection="1">
      <alignment horizontal="left" indent="1"/>
    </xf>
    <xf numFmtId="0" fontId="9" fillId="2" borderId="0" xfId="0" applyFont="1" applyFill="1" applyAlignment="1" applyProtection="1">
      <alignment horizontal="center"/>
      <protection locked="0"/>
    </xf>
    <xf numFmtId="0" fontId="9" fillId="2" borderId="0" xfId="0" applyFont="1" applyFill="1" applyAlignment="1">
      <alignment horizontal="center"/>
    </xf>
    <xf numFmtId="0" fontId="7" fillId="2" borderId="0" xfId="1" applyFont="1" applyFill="1" applyAlignment="1">
      <alignment horizontal="left"/>
    </xf>
    <xf numFmtId="0" fontId="16" fillId="4" borderId="0" xfId="1" applyFont="1" applyFill="1" applyAlignment="1">
      <alignment horizontal="center"/>
    </xf>
    <xf numFmtId="0" fontId="16" fillId="4" borderId="0" xfId="1" applyFont="1" applyFill="1" applyAlignment="1">
      <alignment horizontal="left"/>
    </xf>
    <xf numFmtId="0" fontId="15" fillId="4" borderId="0" xfId="1" applyFont="1" applyFill="1"/>
    <xf numFmtId="1" fontId="15" fillId="0" borderId="0" xfId="1" applyNumberFormat="1" applyFont="1" applyAlignment="1">
      <alignment horizontal="center"/>
    </xf>
    <xf numFmtId="166" fontId="15" fillId="0" borderId="0" xfId="1" applyNumberFormat="1" applyFont="1" applyAlignment="1">
      <alignment horizontal="center"/>
    </xf>
    <xf numFmtId="0" fontId="4" fillId="0" borderId="0" xfId="5" applyFont="1"/>
    <xf numFmtId="0" fontId="3" fillId="0" borderId="0" xfId="5" applyFont="1"/>
    <xf numFmtId="0" fontId="3" fillId="0" borderId="0" xfId="5" applyFont="1" applyAlignment="1">
      <alignment wrapText="1"/>
    </xf>
    <xf numFmtId="2" fontId="9" fillId="2" borderId="22" xfId="1" applyNumberFormat="1" applyFont="1" applyFill="1" applyBorder="1" applyAlignment="1">
      <alignment horizontal="center"/>
    </xf>
    <xf numFmtId="0" fontId="9" fillId="2" borderId="9" xfId="0" applyFont="1" applyFill="1" applyBorder="1" applyAlignment="1">
      <alignment horizontal="center"/>
    </xf>
    <xf numFmtId="1" fontId="10" fillId="2" borderId="0" xfId="1" applyNumberFormat="1" applyFont="1" applyFill="1" applyAlignment="1">
      <alignment horizontal="center"/>
    </xf>
    <xf numFmtId="0" fontId="7" fillId="18" borderId="0" xfId="1" applyFont="1" applyFill="1"/>
    <xf numFmtId="0" fontId="7" fillId="18" borderId="0" xfId="1" applyFont="1" applyFill="1" applyAlignment="1">
      <alignment horizontal="center"/>
    </xf>
    <xf numFmtId="0" fontId="12" fillId="18" borderId="0" xfId="1" applyFont="1" applyFill="1" applyAlignment="1">
      <alignment vertical="center"/>
    </xf>
    <xf numFmtId="0" fontId="7" fillId="18" borderId="0" xfId="1" applyFont="1" applyFill="1" applyAlignment="1">
      <alignment vertical="center"/>
    </xf>
    <xf numFmtId="0" fontId="7" fillId="18" borderId="0" xfId="1" applyFont="1" applyFill="1" applyAlignment="1">
      <alignment horizontal="center" vertical="center"/>
    </xf>
    <xf numFmtId="0" fontId="11" fillId="19" borderId="46" xfId="3" applyFont="1" applyFill="1" applyBorder="1"/>
    <xf numFmtId="0" fontId="0" fillId="18" borderId="0" xfId="0" applyFill="1"/>
    <xf numFmtId="164" fontId="9" fillId="3" borderId="31" xfId="2" applyNumberFormat="1" applyFont="1" applyFill="1" applyBorder="1" applyAlignment="1" applyProtection="1">
      <alignment horizontal="center"/>
    </xf>
    <xf numFmtId="9" fontId="7" fillId="3" borderId="56" xfId="1" applyNumberFormat="1" applyFont="1" applyFill="1" applyBorder="1" applyAlignment="1">
      <alignment horizontal="center" vertical="center"/>
    </xf>
    <xf numFmtId="0" fontId="2" fillId="0" borderId="0" xfId="5" applyFont="1"/>
    <xf numFmtId="0" fontId="9" fillId="4" borderId="0" xfId="1" applyFont="1" applyFill="1" applyAlignment="1">
      <alignment horizontal="left"/>
    </xf>
    <xf numFmtId="1" fontId="9" fillId="4" borderId="0" xfId="1" applyNumberFormat="1" applyFont="1" applyFill="1" applyAlignment="1">
      <alignment horizontal="left"/>
    </xf>
    <xf numFmtId="0" fontId="9" fillId="3" borderId="0" xfId="1" applyFont="1" applyFill="1" applyAlignment="1">
      <alignment horizontal="center"/>
    </xf>
    <xf numFmtId="0" fontId="25" fillId="18" borderId="58" xfId="0" applyFont="1" applyFill="1" applyBorder="1"/>
    <xf numFmtId="0" fontId="0" fillId="18" borderId="59" xfId="0" applyFill="1" applyBorder="1"/>
    <xf numFmtId="0" fontId="0" fillId="18" borderId="60" xfId="0" applyFill="1" applyBorder="1"/>
    <xf numFmtId="0" fontId="24" fillId="18" borderId="61" xfId="0" applyFont="1" applyFill="1" applyBorder="1"/>
    <xf numFmtId="0" fontId="0" fillId="18" borderId="62" xfId="0" applyFill="1" applyBorder="1"/>
    <xf numFmtId="0" fontId="24" fillId="18" borderId="63" xfId="0" applyFont="1" applyFill="1" applyBorder="1"/>
    <xf numFmtId="0" fontId="0" fillId="18" borderId="64" xfId="0" applyFill="1" applyBorder="1"/>
    <xf numFmtId="0" fontId="0" fillId="18" borderId="65" xfId="0" applyFill="1" applyBorder="1"/>
    <xf numFmtId="0" fontId="9" fillId="0" borderId="55" xfId="3" applyFont="1" applyBorder="1"/>
    <xf numFmtId="0" fontId="11" fillId="10" borderId="55" xfId="3" applyFont="1" applyFill="1" applyBorder="1"/>
    <xf numFmtId="0" fontId="9" fillId="7" borderId="55" xfId="3" applyFont="1" applyFill="1" applyBorder="1"/>
    <xf numFmtId="0" fontId="9" fillId="10" borderId="55" xfId="3" applyFont="1" applyFill="1" applyBorder="1" applyAlignment="1">
      <alignment horizontal="center"/>
    </xf>
    <xf numFmtId="0" fontId="11" fillId="9" borderId="55" xfId="0" applyFont="1" applyFill="1" applyBorder="1" applyAlignment="1">
      <alignment horizontal="center"/>
    </xf>
    <xf numFmtId="0" fontId="0" fillId="19" borderId="46" xfId="0" applyFill="1" applyBorder="1"/>
    <xf numFmtId="0" fontId="7" fillId="19" borderId="46" xfId="1" applyFont="1" applyFill="1" applyBorder="1"/>
    <xf numFmtId="0" fontId="9" fillId="0" borderId="46" xfId="3" applyFont="1" applyBorder="1" applyAlignment="1">
      <alignment horizontal="center"/>
    </xf>
    <xf numFmtId="0" fontId="10" fillId="9" borderId="46" xfId="3" applyFont="1" applyFill="1" applyBorder="1"/>
    <xf numFmtId="0" fontId="8" fillId="8" borderId="46" xfId="3" applyFont="1" applyFill="1" applyBorder="1"/>
    <xf numFmtId="0" fontId="10" fillId="9" borderId="46" xfId="3" applyFont="1" applyFill="1" applyBorder="1" applyAlignment="1">
      <alignment horizontal="center"/>
    </xf>
    <xf numFmtId="2" fontId="9" fillId="9" borderId="46" xfId="3" applyNumberFormat="1" applyFont="1" applyFill="1" applyBorder="1"/>
    <xf numFmtId="2" fontId="19" fillId="9" borderId="46" xfId="3" applyNumberFormat="1" applyFont="1" applyFill="1" applyBorder="1"/>
    <xf numFmtId="0" fontId="11" fillId="8" borderId="46" xfId="0" applyFont="1" applyFill="1" applyBorder="1" applyAlignment="1">
      <alignment horizontal="center"/>
    </xf>
    <xf numFmtId="0" fontId="0" fillId="8" borderId="46" xfId="0" applyFill="1" applyBorder="1"/>
    <xf numFmtId="0" fontId="11" fillId="18" borderId="0" xfId="0" applyFont="1" applyFill="1"/>
    <xf numFmtId="0" fontId="0" fillId="9" borderId="0" xfId="0" applyFill="1" applyAlignment="1">
      <alignment horizontal="center"/>
    </xf>
    <xf numFmtId="0" fontId="1" fillId="0" borderId="0" xfId="5" applyFont="1"/>
    <xf numFmtId="0" fontId="0" fillId="4" borderId="66" xfId="0" applyFill="1" applyBorder="1"/>
    <xf numFmtId="0" fontId="0" fillId="4" borderId="0" xfId="0" applyFill="1"/>
    <xf numFmtId="0" fontId="0" fillId="0" borderId="0" xfId="0" applyAlignment="1">
      <alignment wrapText="1"/>
    </xf>
    <xf numFmtId="0" fontId="27" fillId="0" borderId="0" xfId="1" applyFont="1"/>
    <xf numFmtId="0" fontId="27" fillId="0" borderId="0" xfId="1" applyFont="1" applyProtection="1">
      <protection locked="0"/>
    </xf>
    <xf numFmtId="168" fontId="9" fillId="2" borderId="67" xfId="1" applyNumberFormat="1" applyFont="1" applyFill="1" applyBorder="1" applyAlignment="1" applyProtection="1">
      <alignment horizontal="center" vertical="center"/>
      <protection locked="0"/>
    </xf>
    <xf numFmtId="0" fontId="9" fillId="3" borderId="67" xfId="1" applyFont="1" applyFill="1" applyBorder="1" applyAlignment="1">
      <alignment horizontal="center" vertical="center"/>
    </xf>
    <xf numFmtId="0" fontId="7" fillId="3" borderId="67" xfId="1" applyFont="1" applyFill="1" applyBorder="1"/>
    <xf numFmtId="164" fontId="9" fillId="2" borderId="67" xfId="1" applyNumberFormat="1" applyFont="1" applyFill="1" applyBorder="1" applyAlignment="1" applyProtection="1">
      <alignment horizontal="center" vertical="center"/>
      <protection locked="0"/>
    </xf>
    <xf numFmtId="0" fontId="7" fillId="3" borderId="67" xfId="1" applyFont="1" applyFill="1" applyBorder="1" applyAlignment="1">
      <alignment horizontal="center" vertical="center"/>
    </xf>
    <xf numFmtId="0" fontId="10" fillId="3" borderId="67" xfId="1" applyFont="1" applyFill="1" applyBorder="1"/>
    <xf numFmtId="0" fontId="10" fillId="3" borderId="67" xfId="1" applyFont="1" applyFill="1" applyBorder="1" applyAlignment="1">
      <alignment horizontal="center" vertical="center"/>
    </xf>
    <xf numFmtId="170" fontId="9" fillId="3" borderId="67" xfId="1" applyNumberFormat="1" applyFont="1" applyFill="1" applyBorder="1" applyAlignment="1">
      <alignment horizontal="center" vertical="center"/>
    </xf>
    <xf numFmtId="2" fontId="9" fillId="3" borderId="67" xfId="1" applyNumberFormat="1" applyFont="1" applyFill="1" applyBorder="1" applyAlignment="1">
      <alignment horizontal="center" vertical="center"/>
    </xf>
    <xf numFmtId="0" fontId="0" fillId="2" borderId="0" xfId="0" applyFill="1"/>
    <xf numFmtId="0" fontId="27" fillId="20" borderId="0" xfId="1" applyFont="1" applyFill="1" applyProtection="1">
      <protection locked="0"/>
    </xf>
    <xf numFmtId="0" fontId="7" fillId="3" borderId="0" xfId="1" applyFont="1" applyFill="1"/>
    <xf numFmtId="0" fontId="9" fillId="2" borderId="70" xfId="1" applyFont="1" applyFill="1" applyBorder="1" applyProtection="1">
      <protection locked="0"/>
    </xf>
    <xf numFmtId="0" fontId="22" fillId="3" borderId="67" xfId="1" applyFont="1" applyFill="1" applyBorder="1" applyAlignment="1">
      <alignment horizontal="center" vertical="center"/>
    </xf>
    <xf numFmtId="0" fontId="0" fillId="3" borderId="0" xfId="0" applyFill="1"/>
    <xf numFmtId="1" fontId="0" fillId="0" borderId="0" xfId="0" applyNumberFormat="1"/>
    <xf numFmtId="3" fontId="0" fillId="0" borderId="0" xfId="0" applyNumberFormat="1"/>
    <xf numFmtId="167" fontId="0" fillId="0" borderId="0" xfId="0" applyNumberFormat="1"/>
    <xf numFmtId="0" fontId="0" fillId="3" borderId="0" xfId="0" applyFill="1" applyAlignment="1">
      <alignment horizontal="center" vertical="center"/>
    </xf>
    <xf numFmtId="0" fontId="0" fillId="0" borderId="0" xfId="0" applyAlignment="1">
      <alignment horizontal="center" vertical="center"/>
    </xf>
    <xf numFmtId="3" fontId="0" fillId="3" borderId="0" xfId="0" applyNumberFormat="1" applyFill="1" applyAlignment="1">
      <alignment horizontal="center"/>
    </xf>
    <xf numFmtId="167" fontId="0" fillId="3" borderId="0" xfId="0" applyNumberFormat="1" applyFill="1" applyAlignment="1">
      <alignment horizontal="center"/>
    </xf>
    <xf numFmtId="1" fontId="0" fillId="12" borderId="0" xfId="0" applyNumberFormat="1" applyFill="1" applyAlignment="1">
      <alignment horizontal="center" vertical="center"/>
    </xf>
    <xf numFmtId="3" fontId="0" fillId="12" borderId="0" xfId="0" applyNumberFormat="1" applyFill="1" applyAlignment="1">
      <alignment horizontal="center" vertical="center"/>
    </xf>
    <xf numFmtId="167" fontId="0" fillId="12" borderId="0" xfId="0" applyNumberFormat="1" applyFill="1" applyAlignment="1">
      <alignment horizontal="center" vertical="center"/>
    </xf>
    <xf numFmtId="1" fontId="0" fillId="13" borderId="0" xfId="0" applyNumberFormat="1" applyFill="1" applyAlignment="1">
      <alignment horizontal="center" vertical="center"/>
    </xf>
    <xf numFmtId="3" fontId="0" fillId="13" borderId="0" xfId="0" applyNumberFormat="1" applyFill="1" applyAlignment="1">
      <alignment horizontal="center" vertical="center"/>
    </xf>
    <xf numFmtId="167" fontId="0" fillId="13" borderId="0" xfId="0" applyNumberFormat="1" applyFill="1" applyAlignment="1">
      <alignment horizontal="center" vertical="center"/>
    </xf>
    <xf numFmtId="1" fontId="0" fillId="14" borderId="0" xfId="0" applyNumberFormat="1" applyFill="1" applyAlignment="1">
      <alignment horizontal="center" vertical="center"/>
    </xf>
    <xf numFmtId="3" fontId="0" fillId="14" borderId="0" xfId="0" applyNumberFormat="1" applyFill="1" applyAlignment="1">
      <alignment horizontal="center" vertical="center"/>
    </xf>
    <xf numFmtId="167" fontId="0" fillId="14" borderId="0" xfId="0" applyNumberFormat="1" applyFill="1" applyAlignment="1">
      <alignment horizontal="center" vertical="center"/>
    </xf>
    <xf numFmtId="1" fontId="0" fillId="15" borderId="0" xfId="0" applyNumberFormat="1" applyFill="1" applyAlignment="1">
      <alignment horizontal="center" vertical="center"/>
    </xf>
    <xf numFmtId="3" fontId="0" fillId="15" borderId="0" xfId="0" applyNumberFormat="1" applyFill="1" applyAlignment="1">
      <alignment horizontal="center" vertical="center"/>
    </xf>
    <xf numFmtId="167" fontId="0" fillId="15" borderId="0" xfId="0" applyNumberFormat="1" applyFill="1" applyAlignment="1">
      <alignment horizontal="center" vertical="center"/>
    </xf>
    <xf numFmtId="1" fontId="0" fillId="16" borderId="0" xfId="0" applyNumberFormat="1" applyFill="1" applyAlignment="1">
      <alignment horizontal="center" vertical="center"/>
    </xf>
    <xf numFmtId="3" fontId="0" fillId="16" borderId="0" xfId="0" applyNumberFormat="1" applyFill="1" applyAlignment="1">
      <alignment horizontal="center" vertical="center"/>
    </xf>
    <xf numFmtId="167" fontId="0" fillId="16" borderId="0" xfId="0" applyNumberFormat="1" applyFill="1" applyAlignment="1">
      <alignment horizontal="center" vertical="center"/>
    </xf>
    <xf numFmtId="1" fontId="0" fillId="17" borderId="0" xfId="0" applyNumberFormat="1" applyFill="1" applyAlignment="1">
      <alignment horizontal="center" vertical="center"/>
    </xf>
    <xf numFmtId="3" fontId="0" fillId="17" borderId="0" xfId="0" applyNumberFormat="1" applyFill="1" applyAlignment="1">
      <alignment horizontal="center" vertical="center"/>
    </xf>
    <xf numFmtId="167" fontId="0" fillId="17" borderId="0" xfId="0" applyNumberFormat="1" applyFill="1" applyAlignment="1">
      <alignment horizontal="center" vertical="center"/>
    </xf>
    <xf numFmtId="167" fontId="0" fillId="3" borderId="0" xfId="0" applyNumberFormat="1" applyFill="1" applyAlignment="1">
      <alignment horizontal="center" vertical="center"/>
    </xf>
    <xf numFmtId="3" fontId="0" fillId="3" borderId="0" xfId="0" applyNumberFormat="1" applyFill="1" applyAlignment="1">
      <alignment horizontal="center" vertical="center"/>
    </xf>
    <xf numFmtId="167" fontId="11" fillId="3" borderId="0" xfId="0" applyNumberFormat="1" applyFont="1" applyFill="1" applyAlignment="1">
      <alignment horizontal="center" vertical="center"/>
    </xf>
    <xf numFmtId="3" fontId="11" fillId="3" borderId="0" xfId="0" applyNumberFormat="1" applyFont="1" applyFill="1" applyAlignment="1">
      <alignment horizontal="center" vertical="center"/>
    </xf>
    <xf numFmtId="171" fontId="0" fillId="3" borderId="0" xfId="0" applyNumberFormat="1" applyFill="1" applyAlignment="1">
      <alignment horizontal="center" vertical="center"/>
    </xf>
    <xf numFmtId="0" fontId="11" fillId="3" borderId="0" xfId="0" applyFont="1" applyFill="1" applyAlignment="1">
      <alignment horizontal="center" vertical="center"/>
    </xf>
    <xf numFmtId="170" fontId="0" fillId="3" borderId="0" xfId="0" applyNumberFormat="1" applyFill="1" applyAlignment="1">
      <alignment horizontal="center" vertical="center"/>
    </xf>
    <xf numFmtId="2" fontId="0" fillId="3" borderId="0" xfId="0" applyNumberFormat="1" applyFill="1" applyAlignment="1">
      <alignment horizontal="center" vertical="center"/>
    </xf>
    <xf numFmtId="3" fontId="28" fillId="12" borderId="0" xfId="0" applyNumberFormat="1" applyFont="1" applyFill="1" applyAlignment="1">
      <alignment horizontal="center" vertical="center"/>
    </xf>
    <xf numFmtId="3" fontId="28" fillId="13" borderId="0" xfId="0" applyNumberFormat="1" applyFont="1" applyFill="1" applyAlignment="1">
      <alignment horizontal="center" vertical="center"/>
    </xf>
    <xf numFmtId="3" fontId="28" fillId="14" borderId="0" xfId="0" applyNumberFormat="1" applyFont="1" applyFill="1" applyAlignment="1">
      <alignment horizontal="center" vertical="center"/>
    </xf>
    <xf numFmtId="3" fontId="28" fillId="15" borderId="0" xfId="0" applyNumberFormat="1" applyFont="1" applyFill="1" applyAlignment="1">
      <alignment horizontal="center" vertical="center"/>
    </xf>
    <xf numFmtId="3" fontId="28" fillId="16" borderId="0" xfId="0" applyNumberFormat="1" applyFont="1" applyFill="1" applyAlignment="1">
      <alignment horizontal="center" vertical="center"/>
    </xf>
    <xf numFmtId="3" fontId="28" fillId="17" borderId="0" xfId="0" applyNumberFormat="1" applyFont="1" applyFill="1" applyAlignment="1">
      <alignment horizontal="center" vertical="center"/>
    </xf>
    <xf numFmtId="0" fontId="0" fillId="0" borderId="0" xfId="0" applyAlignment="1">
      <alignment vertical="top" wrapText="1"/>
    </xf>
    <xf numFmtId="0" fontId="28" fillId="3" borderId="67" xfId="1" applyFont="1" applyFill="1" applyBorder="1"/>
    <xf numFmtId="1" fontId="28" fillId="2" borderId="67" xfId="1" applyNumberFormat="1" applyFont="1" applyFill="1" applyBorder="1" applyAlignment="1" applyProtection="1">
      <alignment horizontal="center" vertical="center"/>
      <protection locked="0"/>
    </xf>
    <xf numFmtId="0" fontId="29" fillId="3" borderId="67" xfId="1" applyFont="1" applyFill="1" applyBorder="1" applyAlignment="1">
      <alignment horizontal="center" vertical="center"/>
    </xf>
    <xf numFmtId="0" fontId="0" fillId="3" borderId="0" xfId="0" applyFill="1" applyAlignment="1">
      <alignment vertical="top" wrapText="1"/>
    </xf>
    <xf numFmtId="0" fontId="30" fillId="3" borderId="0" xfId="0" applyFont="1" applyFill="1" applyAlignment="1">
      <alignment horizontal="left" vertical="center" wrapText="1"/>
    </xf>
    <xf numFmtId="0" fontId="0" fillId="3" borderId="0" xfId="0" applyFill="1" applyAlignment="1">
      <alignment horizontal="left" vertical="center" wrapText="1"/>
    </xf>
    <xf numFmtId="166" fontId="0" fillId="3" borderId="0" xfId="0" applyNumberFormat="1" applyFill="1" applyAlignment="1">
      <alignment horizontal="center" vertical="center" wrapText="1"/>
    </xf>
    <xf numFmtId="1" fontId="0" fillId="3" borderId="0" xfId="0" applyNumberFormat="1" applyFill="1" applyAlignment="1">
      <alignment horizontal="center" vertical="center" wrapText="1"/>
    </xf>
    <xf numFmtId="0" fontId="0" fillId="3" borderId="0" xfId="0" applyFill="1" applyAlignment="1">
      <alignment horizontal="left" vertical="center"/>
    </xf>
    <xf numFmtId="0" fontId="30" fillId="3" borderId="0" xfId="0" applyFont="1" applyFill="1" applyAlignment="1">
      <alignment horizontal="left" vertical="center"/>
    </xf>
    <xf numFmtId="169" fontId="0" fillId="3" borderId="0" xfId="0" applyNumberFormat="1" applyFill="1" applyAlignment="1">
      <alignment horizontal="center" vertical="center"/>
    </xf>
    <xf numFmtId="164" fontId="0" fillId="3" borderId="0" xfId="0" applyNumberFormat="1" applyFill="1" applyAlignment="1">
      <alignment horizontal="center" vertical="center"/>
    </xf>
    <xf numFmtId="1" fontId="0" fillId="3" borderId="0" xfId="0" applyNumberFormat="1" applyFill="1" applyAlignment="1">
      <alignment horizontal="center" vertical="center"/>
    </xf>
    <xf numFmtId="0" fontId="10" fillId="20" borderId="0" xfId="1" applyFont="1" applyFill="1" applyAlignment="1">
      <alignment horizontal="center" vertical="center" wrapText="1"/>
    </xf>
    <xf numFmtId="0" fontId="23" fillId="20" borderId="0" xfId="1" applyFont="1" applyFill="1" applyAlignment="1">
      <alignment horizontal="center" vertical="center" wrapText="1"/>
    </xf>
    <xf numFmtId="0" fontId="10" fillId="20" borderId="0" xfId="1" applyFont="1" applyFill="1" applyAlignment="1">
      <alignment horizontal="center"/>
    </xf>
    <xf numFmtId="3" fontId="10" fillId="20" borderId="0" xfId="1" applyNumberFormat="1" applyFont="1" applyFill="1" applyAlignment="1">
      <alignment horizontal="center"/>
    </xf>
    <xf numFmtId="167" fontId="10" fillId="20" borderId="0" xfId="1" applyNumberFormat="1" applyFont="1" applyFill="1" applyAlignment="1">
      <alignment horizontal="center"/>
    </xf>
    <xf numFmtId="1" fontId="10" fillId="20" borderId="0" xfId="1" applyNumberFormat="1" applyFont="1" applyFill="1" applyAlignment="1">
      <alignment horizontal="center"/>
    </xf>
    <xf numFmtId="0" fontId="10" fillId="0" borderId="0" xfId="0" applyFont="1" applyAlignment="1">
      <alignment vertical="center" wrapText="1"/>
    </xf>
    <xf numFmtId="0" fontId="9" fillId="20" borderId="0" xfId="1" applyFont="1" applyFill="1"/>
    <xf numFmtId="168" fontId="10" fillId="20" borderId="0" xfId="1" applyNumberFormat="1" applyFont="1" applyFill="1" applyAlignment="1">
      <alignment horizontal="center"/>
    </xf>
    <xf numFmtId="3" fontId="22" fillId="20" borderId="0" xfId="1" applyNumberFormat="1" applyFont="1" applyFill="1" applyAlignment="1">
      <alignment horizontal="center"/>
    </xf>
    <xf numFmtId="0" fontId="10" fillId="20" borderId="0" xfId="1" applyFont="1" applyFill="1" applyAlignment="1">
      <alignment horizontal="center" vertical="center"/>
    </xf>
    <xf numFmtId="0" fontId="10" fillId="20" borderId="0" xfId="1" applyFont="1" applyFill="1" applyAlignment="1" applyProtection="1">
      <alignment horizontal="center" vertical="center"/>
      <protection locked="0"/>
    </xf>
    <xf numFmtId="0" fontId="9" fillId="0" borderId="0" xfId="0" applyFont="1" applyAlignment="1">
      <alignment horizontal="left" vertical="center" wrapText="1" indent="1"/>
    </xf>
    <xf numFmtId="0" fontId="9" fillId="20" borderId="0" xfId="0" applyFont="1" applyFill="1"/>
    <xf numFmtId="0" fontId="9" fillId="3" borderId="0" xfId="0" applyFont="1" applyFill="1"/>
    <xf numFmtId="3" fontId="9" fillId="20" borderId="0" xfId="0" applyNumberFormat="1" applyFont="1" applyFill="1" applyAlignment="1">
      <alignment horizontal="center" vertical="center"/>
    </xf>
    <xf numFmtId="0" fontId="9" fillId="20" borderId="0" xfId="0" applyFont="1" applyFill="1" applyAlignment="1">
      <alignment horizontal="center"/>
    </xf>
    <xf numFmtId="0" fontId="9" fillId="4" borderId="0" xfId="0" applyFont="1" applyFill="1"/>
    <xf numFmtId="0" fontId="9" fillId="4" borderId="0" xfId="0" applyFont="1" applyFill="1" applyAlignment="1">
      <alignment horizontal="left"/>
    </xf>
    <xf numFmtId="37" fontId="9" fillId="4" borderId="0" xfId="0" applyNumberFormat="1" applyFont="1" applyFill="1" applyAlignment="1">
      <alignment horizontal="center"/>
    </xf>
    <xf numFmtId="1" fontId="9" fillId="20" borderId="0" xfId="4" applyNumberFormat="1" applyFont="1" applyFill="1" applyBorder="1" applyAlignment="1" applyProtection="1">
      <alignment horizontal="center" vertical="center"/>
    </xf>
    <xf numFmtId="1" fontId="9" fillId="4" borderId="0" xfId="4" applyNumberFormat="1" applyFont="1" applyFill="1" applyBorder="1" applyAlignment="1" applyProtection="1">
      <alignment horizontal="center"/>
    </xf>
    <xf numFmtId="0" fontId="11" fillId="3" borderId="0" xfId="0" applyFont="1" applyFill="1" applyAlignment="1">
      <alignment horizontal="center" vertical="center" wrapText="1"/>
    </xf>
    <xf numFmtId="0" fontId="11" fillId="0" borderId="0" xfId="0" applyFont="1" applyAlignment="1">
      <alignment vertical="center" wrapText="1"/>
    </xf>
    <xf numFmtId="0" fontId="10" fillId="2" borderId="0" xfId="1" applyFont="1" applyFill="1" applyAlignment="1">
      <alignment horizontal="center" vertical="center" wrapText="1"/>
    </xf>
    <xf numFmtId="0" fontId="7" fillId="2" borderId="0" xfId="1" applyFont="1" applyFill="1" applyAlignment="1">
      <alignment horizontal="center" vertical="center" wrapText="1"/>
    </xf>
    <xf numFmtId="14" fontId="0" fillId="0" borderId="0" xfId="0" applyNumberFormat="1"/>
    <xf numFmtId="0" fontId="5" fillId="0" borderId="0" xfId="5"/>
    <xf numFmtId="0" fontId="8" fillId="3" borderId="2" xfId="0" applyFont="1" applyFill="1" applyBorder="1" applyAlignment="1">
      <alignment horizontal="left"/>
    </xf>
    <xf numFmtId="0" fontId="8" fillId="3" borderId="3" xfId="0" applyFont="1" applyFill="1" applyBorder="1" applyAlignment="1">
      <alignment horizontal="left"/>
    </xf>
    <xf numFmtId="0" fontId="8" fillId="3" borderId="4" xfId="0" applyFont="1" applyFill="1" applyBorder="1" applyAlignment="1">
      <alignment horizontal="left"/>
    </xf>
    <xf numFmtId="1" fontId="10" fillId="3" borderId="23" xfId="1" applyNumberFormat="1" applyFont="1" applyFill="1" applyBorder="1" applyAlignment="1">
      <alignment horizontal="left"/>
    </xf>
    <xf numFmtId="0" fontId="7" fillId="2" borderId="0" xfId="1" applyFont="1" applyFill="1" applyAlignment="1">
      <alignment horizontal="right"/>
    </xf>
    <xf numFmtId="0" fontId="10" fillId="2" borderId="0" xfId="1" applyFont="1" applyFill="1" applyAlignment="1">
      <alignment horizontal="left" wrapText="1"/>
    </xf>
    <xf numFmtId="0" fontId="10" fillId="2" borderId="25" xfId="1" applyFont="1" applyFill="1" applyBorder="1" applyAlignment="1">
      <alignment horizontal="left" wrapText="1"/>
    </xf>
    <xf numFmtId="1" fontId="9" fillId="3" borderId="35" xfId="1" applyNumberFormat="1" applyFont="1" applyFill="1" applyBorder="1" applyAlignment="1">
      <alignment horizontal="left"/>
    </xf>
    <xf numFmtId="1" fontId="9" fillId="3" borderId="36" xfId="1" applyNumberFormat="1" applyFont="1" applyFill="1" applyBorder="1" applyAlignment="1">
      <alignment horizontal="left"/>
    </xf>
    <xf numFmtId="1" fontId="9" fillId="3" borderId="37" xfId="1" applyNumberFormat="1" applyFont="1" applyFill="1" applyBorder="1" applyAlignment="1">
      <alignment horizontal="left"/>
    </xf>
    <xf numFmtId="0" fontId="9" fillId="3" borderId="67" xfId="1" applyFont="1" applyFill="1" applyBorder="1"/>
    <xf numFmtId="0" fontId="10" fillId="2" borderId="0" xfId="1" applyFont="1" applyFill="1" applyAlignment="1">
      <alignment horizontal="center"/>
    </xf>
    <xf numFmtId="0" fontId="10" fillId="2" borderId="25" xfId="1" applyFont="1" applyFill="1" applyBorder="1" applyAlignment="1">
      <alignment horizontal="left"/>
    </xf>
    <xf numFmtId="0" fontId="9" fillId="3" borderId="68" xfId="1" applyFont="1" applyFill="1" applyBorder="1"/>
    <xf numFmtId="0" fontId="9" fillId="3" borderId="69" xfId="1" applyFont="1" applyFill="1" applyBorder="1"/>
    <xf numFmtId="1" fontId="10" fillId="2" borderId="0" xfId="1" applyNumberFormat="1" applyFont="1" applyFill="1" applyAlignment="1">
      <alignment horizontal="center"/>
    </xf>
    <xf numFmtId="1" fontId="9" fillId="3" borderId="26" xfId="1" applyNumberFormat="1" applyFont="1" applyFill="1" applyBorder="1" applyAlignment="1">
      <alignment horizontal="left"/>
    </xf>
    <xf numFmtId="1" fontId="9" fillId="3" borderId="27" xfId="1" applyNumberFormat="1" applyFont="1" applyFill="1" applyBorder="1" applyAlignment="1">
      <alignment horizontal="left"/>
    </xf>
    <xf numFmtId="1" fontId="9" fillId="3" borderId="28" xfId="1" applyNumberFormat="1" applyFont="1" applyFill="1" applyBorder="1" applyAlignment="1">
      <alignment horizontal="left"/>
    </xf>
    <xf numFmtId="0" fontId="10" fillId="20" borderId="0" xfId="1" applyFont="1" applyFill="1" applyAlignment="1">
      <alignment horizontal="center" vertical="center"/>
    </xf>
    <xf numFmtId="0" fontId="9" fillId="20" borderId="0" xfId="1" applyFont="1" applyFill="1" applyAlignment="1">
      <alignment horizontal="center" vertical="center"/>
    </xf>
    <xf numFmtId="0" fontId="14" fillId="5" borderId="50" xfId="1" applyFont="1" applyFill="1" applyBorder="1" applyAlignment="1">
      <alignment horizontal="center"/>
    </xf>
    <xf numFmtId="0" fontId="14" fillId="5" borderId="0" xfId="1" applyFont="1" applyFill="1" applyAlignment="1">
      <alignment horizontal="center"/>
    </xf>
    <xf numFmtId="0" fontId="9" fillId="4" borderId="0" xfId="1" applyFont="1" applyFill="1" applyAlignment="1">
      <alignment horizontal="center"/>
    </xf>
    <xf numFmtId="0" fontId="10" fillId="20" borderId="0" xfId="0" applyFont="1" applyFill="1" applyAlignment="1">
      <alignment horizontal="left" vertical="center" wrapText="1"/>
    </xf>
    <xf numFmtId="0" fontId="14" fillId="5" borderId="50" xfId="1" applyFont="1" applyFill="1" applyBorder="1" applyAlignment="1">
      <alignment horizontal="center" vertical="center"/>
    </xf>
    <xf numFmtId="0" fontId="14" fillId="5" borderId="0" xfId="1" applyFont="1" applyFill="1" applyAlignment="1">
      <alignment horizontal="center" vertical="center"/>
    </xf>
    <xf numFmtId="0" fontId="10" fillId="0" borderId="0" xfId="0" applyFont="1" applyAlignment="1">
      <alignment horizontal="center" vertical="center" wrapText="1"/>
    </xf>
    <xf numFmtId="0" fontId="14" fillId="5" borderId="57" xfId="1" applyFont="1" applyFill="1" applyBorder="1" applyAlignment="1">
      <alignment horizontal="left"/>
    </xf>
    <xf numFmtId="0" fontId="14" fillId="5" borderId="0" xfId="1" applyFont="1" applyFill="1" applyAlignment="1">
      <alignment horizontal="left"/>
    </xf>
    <xf numFmtId="0" fontId="9" fillId="3" borderId="0" xfId="1" applyFont="1" applyFill="1" applyAlignment="1">
      <alignment horizontal="center"/>
    </xf>
    <xf numFmtId="0" fontId="9" fillId="3" borderId="0" xfId="1" applyFont="1" applyFill="1" applyAlignment="1">
      <alignment horizontal="left"/>
    </xf>
    <xf numFmtId="0" fontId="16" fillId="6" borderId="43" xfId="0" applyFont="1" applyFill="1" applyBorder="1" applyAlignment="1">
      <alignment horizontal="center"/>
    </xf>
    <xf numFmtId="0" fontId="16" fillId="6" borderId="44" xfId="0" applyFont="1" applyFill="1" applyBorder="1" applyAlignment="1">
      <alignment horizontal="center"/>
    </xf>
    <xf numFmtId="0" fontId="16" fillId="6" borderId="45" xfId="0" applyFont="1" applyFill="1" applyBorder="1" applyAlignment="1">
      <alignment horizontal="center"/>
    </xf>
    <xf numFmtId="0" fontId="26" fillId="18" borderId="0" xfId="0" applyFont="1" applyFill="1" applyAlignment="1">
      <alignment horizontal="center"/>
    </xf>
    <xf numFmtId="0" fontId="25" fillId="18" borderId="0" xfId="0" applyFont="1" applyFill="1" applyAlignment="1">
      <alignment horizontal="center"/>
    </xf>
    <xf numFmtId="0" fontId="11" fillId="14" borderId="43" xfId="3" applyFont="1" applyFill="1" applyBorder="1" applyAlignment="1">
      <alignment horizontal="center"/>
    </xf>
    <xf numFmtId="0" fontId="11" fillId="14" borderId="44" xfId="3" applyFont="1" applyFill="1" applyBorder="1" applyAlignment="1">
      <alignment horizontal="center"/>
    </xf>
    <xf numFmtId="0" fontId="11" fillId="14" borderId="45" xfId="3" applyFont="1" applyFill="1" applyBorder="1" applyAlignment="1">
      <alignment horizontal="center"/>
    </xf>
    <xf numFmtId="0" fontId="10" fillId="3" borderId="47" xfId="0" applyFont="1" applyFill="1" applyBorder="1" applyAlignment="1">
      <alignment horizontal="left" vertical="center" wrapText="1"/>
    </xf>
    <xf numFmtId="0" fontId="10" fillId="3" borderId="23" xfId="0" applyFont="1" applyFill="1" applyBorder="1" applyAlignment="1">
      <alignment horizontal="left" vertical="center" wrapText="1"/>
    </xf>
    <xf numFmtId="0" fontId="10" fillId="3" borderId="48" xfId="0" applyFont="1" applyFill="1" applyBorder="1" applyAlignment="1">
      <alignment horizontal="left" vertical="center" wrapText="1"/>
    </xf>
    <xf numFmtId="0" fontId="10" fillId="3" borderId="0" xfId="0" applyFont="1" applyFill="1" applyAlignment="1">
      <alignment horizontal="left" vertical="center" wrapText="1"/>
    </xf>
    <xf numFmtId="0" fontId="0" fillId="3" borderId="0" xfId="0" applyFill="1" applyAlignment="1">
      <alignment horizontal="center" vertical="center"/>
    </xf>
    <xf numFmtId="0" fontId="31" fillId="20" borderId="0" xfId="0" applyFont="1" applyFill="1" applyAlignment="1">
      <alignment horizontal="left" vertical="top" wrapText="1"/>
    </xf>
    <xf numFmtId="0" fontId="0" fillId="0" borderId="0" xfId="0" applyAlignment="1">
      <alignment horizontal="left" vertical="top" wrapText="1"/>
    </xf>
    <xf numFmtId="0" fontId="20" fillId="2" borderId="9" xfId="0" applyNumberFormat="1" applyFont="1" applyFill="1" applyBorder="1" applyAlignment="1" applyProtection="1">
      <alignment horizontal="center"/>
      <protection locked="0"/>
    </xf>
    <xf numFmtId="0" fontId="9" fillId="2" borderId="9" xfId="0" applyNumberFormat="1" applyFont="1" applyFill="1" applyBorder="1" applyAlignment="1" applyProtection="1">
      <alignment horizontal="center"/>
      <protection locked="0"/>
    </xf>
    <xf numFmtId="0" fontId="9" fillId="2" borderId="19" xfId="0" applyNumberFormat="1" applyFont="1" applyFill="1" applyBorder="1" applyAlignment="1" applyProtection="1">
      <alignment horizontal="center"/>
      <protection locked="0"/>
    </xf>
    <xf numFmtId="0" fontId="9" fillId="3" borderId="52" xfId="1" applyNumberFormat="1" applyFont="1" applyFill="1" applyBorder="1" applyAlignment="1">
      <alignment horizontal="center"/>
    </xf>
    <xf numFmtId="0" fontId="9" fillId="3" borderId="49" xfId="1" applyNumberFormat="1" applyFont="1" applyFill="1" applyBorder="1" applyAlignment="1">
      <alignment horizontal="center"/>
    </xf>
    <xf numFmtId="0" fontId="9" fillId="3" borderId="29" xfId="1" applyNumberFormat="1" applyFont="1" applyFill="1" applyBorder="1" applyAlignment="1">
      <alignment horizontal="center"/>
    </xf>
    <xf numFmtId="0" fontId="0" fillId="3" borderId="0" xfId="0" applyNumberFormat="1" applyFill="1" applyAlignment="1">
      <alignment horizontal="center"/>
    </xf>
    <xf numFmtId="0" fontId="0" fillId="3" borderId="0" xfId="0" applyNumberFormat="1" applyFill="1" applyAlignment="1">
      <alignment horizontal="center" vertical="center"/>
    </xf>
  </cellXfs>
  <cellStyles count="7">
    <cellStyle name="Normal" xfId="0" builtinId="0"/>
    <cellStyle name="Normal 2" xfId="3" xr:uid="{BB110051-B756-4987-870E-9A8605F93B1B}"/>
    <cellStyle name="Normal 3" xfId="5" xr:uid="{DB6B70C8-4E70-4D9F-80AF-1E238C551FB2}"/>
    <cellStyle name="Normal 4" xfId="1" xr:uid="{8FC21825-7921-4797-90B7-12272B296A3B}"/>
    <cellStyle name="Normal 4 2" xfId="6" xr:uid="{312A3B13-647E-4EA6-A0C3-D01A1F658EE1}"/>
    <cellStyle name="Percent" xfId="4" builtinId="5"/>
    <cellStyle name="Percent 2" xfId="2" xr:uid="{554D25AA-6124-471D-9F54-AA6EA475FF35}"/>
  </cellStyles>
  <dxfs count="0"/>
  <tableStyles count="0" defaultTableStyle="TableStyleMedium2" defaultPivotStyle="PivotStyleLight16"/>
  <colors>
    <mruColors>
      <color rgb="FFC3C8CE"/>
      <color rgb="FFEEF0F2"/>
      <color rgb="FFB6B6B6"/>
      <color rgb="FF000080"/>
      <color rgb="FFFF6600"/>
      <color rgb="FF99CCFF"/>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DDC to GPM to BTU/h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extLst>
            <c:ext xmlns:c16="http://schemas.microsoft.com/office/drawing/2014/chart" uri="{C3380CC4-5D6E-409C-BE32-E72D297353CC}">
              <c16:uniqueId val="{00000000-29F3-4468-9583-73A593AA0DB7}"/>
            </c:ext>
          </c:extLst>
        </c:ser>
        <c:dLbls>
          <c:showLegendKey val="0"/>
          <c:showVal val="0"/>
          <c:showCatName val="0"/>
          <c:showSerName val="0"/>
          <c:showPercent val="0"/>
          <c:showBubbleSize val="0"/>
        </c:dLbls>
        <c:gapWidth val="219"/>
        <c:overlap val="-27"/>
        <c:axId val="153536352"/>
        <c:axId val="153534688"/>
      </c:barChart>
      <c:lineChart>
        <c:grouping val="standard"/>
        <c:varyColors val="0"/>
        <c:ser>
          <c:idx val="1"/>
          <c:order val="1"/>
          <c:spPr>
            <a:ln w="34925" cap="rnd">
              <a:solidFill>
                <a:schemeClr val="accent2"/>
              </a:solidFill>
              <a:round/>
            </a:ln>
            <a:effectLst>
              <a:outerShdw blurRad="57150" dist="19050" dir="5400000" algn="ctr" rotWithShape="0">
                <a:srgbClr val="000000">
                  <a:alpha val="63000"/>
                </a:srgbClr>
              </a:outerShdw>
            </a:effectLst>
          </c:spPr>
          <c:marker>
            <c:symbol val="none"/>
          </c:marker>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Curves'!$Q$10:$Q$110</c:f>
              <c:numCache>
                <c:formatCode>#,##0</c:formatCode>
                <c:ptCount val="101"/>
                <c:pt idx="0">
                  <c:v>0</c:v>
                </c:pt>
                <c:pt idx="1">
                  <c:v>0</c:v>
                </c:pt>
                <c:pt idx="2">
                  <c:v>0</c:v>
                </c:pt>
                <c:pt idx="3">
                  <c:v>0</c:v>
                </c:pt>
                <c:pt idx="4">
                  <c:v>0</c:v>
                </c:pt>
                <c:pt idx="5">
                  <c:v>0</c:v>
                </c:pt>
                <c:pt idx="6">
                  <c:v>0</c:v>
                </c:pt>
                <c:pt idx="7">
                  <c:v>93210.086663527341</c:v>
                </c:pt>
                <c:pt idx="8">
                  <c:v>96260.296285278513</c:v>
                </c:pt>
                <c:pt idx="9">
                  <c:v>99410.321056544824</c:v>
                </c:pt>
                <c:pt idx="10">
                  <c:v>102663.42733121914</c:v>
                </c:pt>
                <c:pt idx="11">
                  <c:v>106022.98835145558</c:v>
                </c:pt>
                <c:pt idx="12">
                  <c:v>109492.48774548386</c:v>
                </c:pt>
                <c:pt idx="13">
                  <c:v>113075.52313988654</c:v>
                </c:pt>
                <c:pt idx="14">
                  <c:v>116775.80989008436</c:v>
                </c:pt>
                <c:pt idx="15">
                  <c:v>120597.18493289834</c:v>
                </c:pt>
                <c:pt idx="16">
                  <c:v>124543.61076518308</c:v>
                </c:pt>
                <c:pt idx="17">
                  <c:v>128619.17955265696</c:v>
                </c:pt>
                <c:pt idx="18">
                  <c:v>132828.11737318983</c:v>
                </c:pt>
                <c:pt idx="19">
                  <c:v>137174.7885989483</c:v>
                </c:pt>
                <c:pt idx="20">
                  <c:v>141663.7004219424</c:v>
                </c:pt>
                <c:pt idx="21">
                  <c:v>146299.50752766605</c:v>
                </c:pt>
                <c:pt idx="22">
                  <c:v>151087.01692167856</c:v>
                </c:pt>
                <c:pt idx="23">
                  <c:v>156031.19291413078</c:v>
                </c:pt>
                <c:pt idx="24">
                  <c:v>161137.16226740507</c:v>
                </c:pt>
                <c:pt idx="25">
                  <c:v>166410.21951220703</c:v>
                </c:pt>
                <c:pt idx="26">
                  <c:v>171855.83243762117</c:v>
                </c:pt>
                <c:pt idx="27">
                  <c:v>177479.6477608229</c:v>
                </c:pt>
                <c:pt idx="28">
                  <c:v>183287.49698232693</c:v>
                </c:pt>
                <c:pt idx="29">
                  <c:v>189285.40243284244</c:v>
                </c:pt>
                <c:pt idx="30">
                  <c:v>195479.58351800646</c:v>
                </c:pt>
                <c:pt idx="31">
                  <c:v>201876.46316746896</c:v>
                </c:pt>
                <c:pt idx="32">
                  <c:v>208482.67449501914</c:v>
                </c:pt>
                <c:pt idx="33">
                  <c:v>215305.06767665729</c:v>
                </c:pt>
                <c:pt idx="34">
                  <c:v>222350.71705374474</c:v>
                </c:pt>
                <c:pt idx="35">
                  <c:v>229626.92846859802</c:v>
                </c:pt>
                <c:pt idx="36">
                  <c:v>237141.24684013295</c:v>
                </c:pt>
                <c:pt idx="37">
                  <c:v>244901.46398741411</c:v>
                </c:pt>
                <c:pt idx="38">
                  <c:v>252915.62670922265</c:v>
                </c:pt>
                <c:pt idx="39">
                  <c:v>261192.04512802008</c:v>
                </c:pt>
                <c:pt idx="40">
                  <c:v>269739.30130696023</c:v>
                </c:pt>
                <c:pt idx="41">
                  <c:v>278566.25814888423</c:v>
                </c:pt>
                <c:pt idx="42">
                  <c:v>287682.06858652702</c:v>
                </c:pt>
                <c:pt idx="43">
                  <c:v>297096.18507346394</c:v>
                </c:pt>
                <c:pt idx="44">
                  <c:v>306818.36938563961</c:v>
                </c:pt>
                <c:pt idx="45">
                  <c:v>316858.70274364203</c:v>
                </c:pt>
                <c:pt idx="46">
                  <c:v>327227.59626621893</c:v>
                </c:pt>
                <c:pt idx="47">
                  <c:v>337935.80176587455</c:v>
                </c:pt>
                <c:pt idx="48">
                  <c:v>348994.42289774225</c:v>
                </c:pt>
                <c:pt idx="49">
                  <c:v>360414.926673293</c:v>
                </c:pt>
                <c:pt idx="50">
                  <c:v>372209.15535081894</c:v>
                </c:pt>
                <c:pt idx="51">
                  <c:v>384389.33871502161</c:v>
                </c:pt>
                <c:pt idx="52">
                  <c:v>396968.10675843712</c:v>
                </c:pt>
                <c:pt idx="53">
                  <c:v>409958.50277784938</c:v>
                </c:pt>
                <c:pt idx="54">
                  <c:v>423373.99689927098</c:v>
                </c:pt>
                <c:pt idx="55">
                  <c:v>437228.50004551443</c:v>
                </c:pt>
                <c:pt idx="56">
                  <c:v>451536.37836083997</c:v>
                </c:pt>
                <c:pt idx="57">
                  <c:v>466312.4681076362</c:v>
                </c:pt>
                <c:pt idx="58">
                  <c:v>481572.0910505795</c:v>
                </c:pt>
                <c:pt idx="59">
                  <c:v>497331.07034422416</c:v>
                </c:pt>
                <c:pt idx="60">
                  <c:v>513605.74694050069</c:v>
                </c:pt>
                <c:pt idx="61">
                  <c:v>530412.99653313169</c:v>
                </c:pt>
                <c:pt idx="62">
                  <c:v>547770.24705653836</c:v>
                </c:pt>
                <c:pt idx="63">
                  <c:v>565695.49675738101</c:v>
                </c:pt>
                <c:pt idx="64">
                  <c:v>584207.33285747457</c:v>
                </c:pt>
                <c:pt idx="65">
                  <c:v>603324.95082742756</c:v>
                </c:pt>
                <c:pt idx="66">
                  <c:v>623068.17429099418</c:v>
                </c:pt>
                <c:pt idx="67">
                  <c:v>643457.47558077669</c:v>
                </c:pt>
                <c:pt idx="68">
                  <c:v>664513.99696659204</c:v>
                </c:pt>
                <c:pt idx="69">
                  <c:v>686259.57257851749</c:v>
                </c:pt>
                <c:pt idx="70">
                  <c:v>708716.75104734721</c:v>
                </c:pt>
                <c:pt idx="71">
                  <c:v>731908.81888593209</c:v>
                </c:pt>
                <c:pt idx="72">
                  <c:v>755859.82463565667</c:v>
                </c:pt>
                <c:pt idx="73">
                  <c:v>780594.60380308202</c:v>
                </c:pt>
                <c:pt idx="74">
                  <c:v>806138.80461261666</c:v>
                </c:pt>
                <c:pt idx="75">
                  <c:v>832518.91460192134</c:v>
                </c:pt>
                <c:pt idx="76">
                  <c:v>859762.28808761877</c:v>
                </c:pt>
                <c:pt idx="77">
                  <c:v>887897.17452979495</c:v>
                </c:pt>
                <c:pt idx="78">
                  <c:v>916952.74782469985</c:v>
                </c:pt>
                <c:pt idx="79">
                  <c:v>946959.13655602338</c:v>
                </c:pt>
                <c:pt idx="80">
                  <c:v>977947.45523611654</c:v>
                </c:pt>
                <c:pt idx="81">
                  <c:v>1009949.8365695479</c:v>
                </c:pt>
                <c:pt idx="82">
                  <c:v>1042999.464772457</c:v>
                </c:pt>
                <c:pt idx="83">
                  <c:v>1077130.6099822514</c:v>
                </c:pt>
                <c:pt idx="84">
                  <c:v>1112378.6637933231</c:v>
                </c:pt>
                <c:pt idx="85">
                  <c:v>1148780.1759556422</c:v>
                </c:pt>
                <c:pt idx="86">
                  <c:v>1186372.8922742736</c:v>
                </c:pt>
                <c:pt idx="87">
                  <c:v>1225195.7937491185</c:v>
                </c:pt>
                <c:pt idx="88">
                  <c:v>1265289.1369954676</c:v>
                </c:pt>
                <c:pt idx="89">
                  <c:v>1306694.4959872761</c:v>
                </c:pt>
                <c:pt idx="90">
                  <c:v>1349454.8051664478</c:v>
                </c:pt>
                <c:pt idx="91">
                  <c:v>1393614.4039628275</c:v>
                </c:pt>
                <c:pt idx="92">
                  <c:v>1439219.0827710696</c:v>
                </c:pt>
                <c:pt idx="93">
                  <c:v>1486316.1304320516</c:v>
                </c:pt>
                <c:pt idx="94">
                  <c:v>1534954.3832680711</c:v>
                </c:pt>
                <c:pt idx="95">
                  <c:v>1585184.2757226781</c:v>
                </c:pt>
                <c:pt idx="96">
                  <c:v>1637057.8926576369</c:v>
                </c:pt>
                <c:pt idx="97">
                  <c:v>1690629.0233612631</c:v>
                </c:pt>
                <c:pt idx="98">
                  <c:v>1745953.2173241286</c:v>
                </c:pt>
                <c:pt idx="99">
                  <c:v>1803087.8418399696</c:v>
                </c:pt>
                <c:pt idx="100">
                  <c:v>1862092.1414915335</c:v>
                </c:pt>
              </c:numCache>
            </c:numRef>
          </c:val>
          <c:smooth val="0"/>
          <c:extLst>
            <c:ext xmlns:c16="http://schemas.microsoft.com/office/drawing/2014/chart" uri="{C3380CC4-5D6E-409C-BE32-E72D297353CC}">
              <c16:uniqueId val="{00000001-29F3-4468-9583-73A593AA0DB7}"/>
            </c:ext>
          </c:extLst>
        </c:ser>
        <c:dLbls>
          <c:showLegendKey val="0"/>
          <c:showVal val="0"/>
          <c:showCatName val="0"/>
          <c:showSerName val="0"/>
          <c:showPercent val="0"/>
          <c:showBubbleSize val="0"/>
        </c:dLbls>
        <c:marker val="1"/>
        <c:smooth val="0"/>
        <c:axId val="153523872"/>
        <c:axId val="153523456"/>
      </c:lineChart>
      <c:catAx>
        <c:axId val="153536352"/>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DDC Input Voltage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4688"/>
        <c:crosses val="autoZero"/>
        <c:auto val="1"/>
        <c:lblAlgn val="ctr"/>
        <c:lblOffset val="100"/>
        <c:noMultiLvlLbl val="0"/>
      </c:catAx>
      <c:valAx>
        <c:axId val="153534688"/>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6352"/>
        <c:crosses val="autoZero"/>
        <c:crossBetween val="between"/>
      </c:valAx>
      <c:valAx>
        <c:axId val="153523456"/>
        <c:scaling>
          <c:orientation val="minMax"/>
        </c:scaling>
        <c:delete val="0"/>
        <c:axPos val="r"/>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BTU/h</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23872"/>
        <c:crosses val="max"/>
        <c:crossBetween val="between"/>
      </c:valAx>
      <c:catAx>
        <c:axId val="153523872"/>
        <c:scaling>
          <c:orientation val="minMax"/>
        </c:scaling>
        <c:delete val="1"/>
        <c:axPos val="t"/>
        <c:numFmt formatCode="0.00" sourceLinked="1"/>
        <c:majorTickMark val="none"/>
        <c:minorTickMark val="none"/>
        <c:tickLblPos val="nextTo"/>
        <c:crossAx val="153523456"/>
        <c:crosses val="max"/>
        <c:auto val="1"/>
        <c:lblAlgn val="ctr"/>
        <c:lblOffset val="100"/>
        <c:noMultiLvlLbl val="0"/>
      </c:cat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 Open to GPM</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val>
            <c:numRef>
              <c:f>'Flow Curves'!$L$10:$L$110</c:f>
              <c:numCache>
                <c:formatCode>0.0%</c:formatCode>
                <c:ptCount val="101"/>
                <c:pt idx="0">
                  <c:v>0.04</c:v>
                </c:pt>
                <c:pt idx="1">
                  <c:v>4.1308961178316256E-2</c:v>
                </c:pt>
                <c:pt idx="2">
                  <c:v>4.266075684079098E-2</c:v>
                </c:pt>
                <c:pt idx="3">
                  <c:v>4.4056788704345602E-2</c:v>
                </c:pt>
                <c:pt idx="4">
                  <c:v>4.5498504355727366E-2</c:v>
                </c:pt>
                <c:pt idx="5">
                  <c:v>4.6987398752554865E-2</c:v>
                </c:pt>
                <c:pt idx="6">
                  <c:v>4.8525015773483865E-2</c:v>
                </c:pt>
                <c:pt idx="7">
                  <c:v>5.0112949819100722E-2</c:v>
                </c:pt>
                <c:pt idx="8">
                  <c:v>5.1752847465203498E-2</c:v>
                </c:pt>
                <c:pt idx="9">
                  <c:v>5.3446409170185401E-2</c:v>
                </c:pt>
                <c:pt idx="10">
                  <c:v>5.5195391038289861E-2</c:v>
                </c:pt>
                <c:pt idx="11">
                  <c:v>5.7001606640567512E-2</c:v>
                </c:pt>
                <c:pt idx="12">
                  <c:v>5.886692889542143E-2</c:v>
                </c:pt>
                <c:pt idx="13">
                  <c:v>6.0793292010691682E-2</c:v>
                </c:pt>
                <c:pt idx="14">
                  <c:v>6.2782693489292662E-2</c:v>
                </c:pt>
                <c:pt idx="15">
                  <c:v>6.4837196200482977E-2</c:v>
                </c:pt>
                <c:pt idx="16">
                  <c:v>6.6958930518915633E-2</c:v>
                </c:pt>
                <c:pt idx="17">
                  <c:v>6.9150096533686534E-2</c:v>
                </c:pt>
                <c:pt idx="18">
                  <c:v>7.1412966329671951E-2</c:v>
                </c:pt>
                <c:pt idx="19">
                  <c:v>7.3749886343520601E-2</c:v>
                </c:pt>
                <c:pt idx="20">
                  <c:v>7.6163279796743227E-2</c:v>
                </c:pt>
                <c:pt idx="21">
                  <c:v>7.8655649208422607E-2</c:v>
                </c:pt>
                <c:pt idx="22">
                  <c:v>8.1229578990149764E-2</c:v>
                </c:pt>
                <c:pt idx="23">
                  <c:v>8.3887738125876757E-2</c:v>
                </c:pt>
                <c:pt idx="24">
                  <c:v>8.6632882939465083E-2</c:v>
                </c:pt>
                <c:pt idx="25">
                  <c:v>8.9467859952799475E-2</c:v>
                </c:pt>
                <c:pt idx="26">
                  <c:v>9.2395608837430726E-2</c:v>
                </c:pt>
                <c:pt idx="27">
                  <c:v>9.5419165462808014E-2</c:v>
                </c:pt>
                <c:pt idx="28">
                  <c:v>9.8541665044261789E-2</c:v>
                </c:pt>
                <c:pt idx="29">
                  <c:v>0.10176634539400131</c:v>
                </c:pt>
                <c:pt idx="30">
                  <c:v>0.10509655027849808</c:v>
                </c:pt>
                <c:pt idx="31">
                  <c:v>0.10853573288573599</c:v>
                </c:pt>
                <c:pt idx="32">
                  <c:v>0.11208745940592425</c:v>
                </c:pt>
                <c:pt idx="33">
                  <c:v>0.11575541272938564</c:v>
                </c:pt>
                <c:pt idx="34">
                  <c:v>0.11954339626545415</c:v>
                </c:pt>
                <c:pt idx="35">
                  <c:v>0.12345533788634301</c:v>
                </c:pt>
                <c:pt idx="36">
                  <c:v>0.12749529400007148</c:v>
                </c:pt>
                <c:pt idx="37">
                  <c:v>0.13166745375667424</c:v>
                </c:pt>
                <c:pt idx="38">
                  <c:v>0.13597614339205519</c:v>
                </c:pt>
                <c:pt idx="39">
                  <c:v>0.14042583071398929</c:v>
                </c:pt>
                <c:pt idx="40">
                  <c:v>0.14502112973492484</c:v>
                </c:pt>
                <c:pt idx="41">
                  <c:v>0.14976680545638935</c:v>
                </c:pt>
                <c:pt idx="42">
                  <c:v>0.15466777880996077</c:v>
                </c:pt>
                <c:pt idx="43">
                  <c:v>0.15972913175992687</c:v>
                </c:pt>
                <c:pt idx="44">
                  <c:v>0.1649561125729245</c:v>
                </c:pt>
                <c:pt idx="45">
                  <c:v>0.1703541412600226</c:v>
                </c:pt>
                <c:pt idx="46">
                  <c:v>0.17592881519689191</c:v>
                </c:pt>
                <c:pt idx="47">
                  <c:v>0.18168591492788955</c:v>
                </c:pt>
                <c:pt idx="48">
                  <c:v>0.18763141016007648</c:v>
                </c:pt>
                <c:pt idx="49">
                  <c:v>0.19377146595338332</c:v>
                </c:pt>
                <c:pt idx="50">
                  <c:v>0.20011244911334353</c:v>
                </c:pt>
                <c:pt idx="51">
                  <c:v>0.20666093479302239</c:v>
                </c:pt>
                <c:pt idx="52">
                  <c:v>0.21342371331098769</c:v>
                </c:pt>
                <c:pt idx="53">
                  <c:v>0.22040779719239217</c:v>
                </c:pt>
                <c:pt idx="54">
                  <c:v>0.22762042844046829</c:v>
                </c:pt>
                <c:pt idx="55">
                  <c:v>0.23506908604597548</c:v>
                </c:pt>
                <c:pt idx="56">
                  <c:v>0.24276149374238709</c:v>
                </c:pt>
                <c:pt idx="57">
                  <c:v>0.25070562801485818</c:v>
                </c:pt>
                <c:pt idx="58">
                  <c:v>0.25890972637127929</c:v>
                </c:pt>
                <c:pt idx="59">
                  <c:v>0.26738229588399148</c:v>
                </c:pt>
                <c:pt idx="60">
                  <c:v>0.27613212201102189</c:v>
                </c:pt>
                <c:pt idx="61">
                  <c:v>0.2851682777059848</c:v>
                </c:pt>
                <c:pt idx="62">
                  <c:v>0.29450013282609588</c:v>
                </c:pt>
                <c:pt idx="63">
                  <c:v>0.30413736384805429</c:v>
                </c:pt>
                <c:pt idx="64">
                  <c:v>0.314089963901868</c:v>
                </c:pt>
                <c:pt idx="65">
                  <c:v>0.32436825313302559</c:v>
                </c:pt>
                <c:pt idx="66">
                  <c:v>0.33498288940376031</c:v>
                </c:pt>
                <c:pt idx="67">
                  <c:v>0.34594487934450358</c:v>
                </c:pt>
                <c:pt idx="68">
                  <c:v>0.35726558976698491</c:v>
                </c:pt>
                <c:pt idx="69">
                  <c:v>0.36895675945081585</c:v>
                </c:pt>
                <c:pt idx="70">
                  <c:v>0.38103051131577803</c:v>
                </c:pt>
                <c:pt idx="71">
                  <c:v>0.3934993649924366</c:v>
                </c:pt>
                <c:pt idx="72">
                  <c:v>0.40637624980411652</c:v>
                </c:pt>
                <c:pt idx="73">
                  <c:v>0.4196745181737</c:v>
                </c:pt>
                <c:pt idx="74">
                  <c:v>0.43340795946914873</c:v>
                </c:pt>
                <c:pt idx="75">
                  <c:v>0.44759081430210823</c:v>
                </c:pt>
                <c:pt idx="76">
                  <c:v>0.46223778929441872</c:v>
                </c:pt>
                <c:pt idx="77">
                  <c:v>0.47736407232784672</c:v>
                </c:pt>
                <c:pt idx="78">
                  <c:v>0.49298534829284935</c:v>
                </c:pt>
                <c:pt idx="79">
                  <c:v>0.50911781535270073</c:v>
                </c:pt>
                <c:pt idx="80">
                  <c:v>0.52577820173984757</c:v>
                </c:pt>
                <c:pt idx="81">
                  <c:v>0.54298378310190742</c:v>
                </c:pt>
                <c:pt idx="82">
                  <c:v>0.5607524004152995</c:v>
                </c:pt>
                <c:pt idx="83">
                  <c:v>0.57910247848508134</c:v>
                </c:pt>
                <c:pt idx="84">
                  <c:v>0.59805304505017365</c:v>
                </c:pt>
                <c:pt idx="85">
                  <c:v>0.61762375051378615</c:v>
                </c:pt>
                <c:pt idx="86">
                  <c:v>0.63783488831950186</c:v>
                </c:pt>
                <c:pt idx="87">
                  <c:v>0.65870741599414973</c:v>
                </c:pt>
                <c:pt idx="88">
                  <c:v>0.68026297687928361</c:v>
                </c:pt>
                <c:pt idx="89">
                  <c:v>0.70252392257380425</c:v>
                </c:pt>
                <c:pt idx="90">
                  <c:v>0.72551333611099345</c:v>
                </c:pt>
                <c:pt idx="91">
                  <c:v>0.74925505589399333</c:v>
                </c:pt>
                <c:pt idx="92">
                  <c:v>0.77377370041455362</c:v>
                </c:pt>
                <c:pt idx="93">
                  <c:v>0.79909469378067277</c:v>
                </c:pt>
                <c:pt idx="94">
                  <c:v>0.82524429207960814</c:v>
                </c:pt>
                <c:pt idx="95">
                  <c:v>0.85224961060359028</c:v>
                </c:pt>
                <c:pt idx="96">
                  <c:v>0.88013865196647134</c:v>
                </c:pt>
                <c:pt idx="97">
                  <c:v>0.90894033514046402</c:v>
                </c:pt>
                <c:pt idx="98">
                  <c:v>0.9386845254430799</c:v>
                </c:pt>
                <c:pt idx="99">
                  <c:v>0.9694020655053599</c:v>
                </c:pt>
                <c:pt idx="100">
                  <c:v>1.0011248072535126</c:v>
                </c:pt>
              </c:numCache>
            </c:numRef>
          </c:val>
          <c:smooth val="0"/>
          <c:extLst>
            <c:ext xmlns:c16="http://schemas.microsoft.com/office/drawing/2014/chart" uri="{C3380CC4-5D6E-409C-BE32-E72D297353CC}">
              <c16:uniqueId val="{00000000-BE95-4C24-BD46-1A54B23AC8D6}"/>
            </c:ext>
          </c:extLst>
        </c:ser>
        <c:ser>
          <c:idx val="1"/>
          <c:order val="1"/>
          <c:spPr>
            <a:ln w="34925" cap="rnd">
              <a:solidFill>
                <a:schemeClr val="accent2"/>
              </a:solidFill>
              <a:round/>
            </a:ln>
            <a:effectLst>
              <a:outerShdw blurRad="57150" dist="19050" dir="5400000" algn="ctr" rotWithShape="0">
                <a:srgbClr val="000000">
                  <a:alpha val="63000"/>
                </a:srgbClr>
              </a:outerShdw>
            </a:effectLst>
          </c:spPr>
          <c:marker>
            <c:symbol val="none"/>
          </c:marker>
          <c:val>
            <c:numRef>
              <c:f>'Flow Curves'!$M$10:$M$110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smooth val="0"/>
          <c:extLst>
            <c:ext xmlns:c16="http://schemas.microsoft.com/office/drawing/2014/chart" uri="{C3380CC4-5D6E-409C-BE32-E72D297353CC}">
              <c16:uniqueId val="{00000001-BE95-4C24-BD46-1A54B23AC8D6}"/>
            </c:ext>
          </c:extLst>
        </c:ser>
        <c:dLbls>
          <c:showLegendKey val="0"/>
          <c:showVal val="0"/>
          <c:showCatName val="0"/>
          <c:showSerName val="0"/>
          <c:showPercent val="0"/>
          <c:showBubbleSize val="0"/>
        </c:dLbls>
        <c:smooth val="0"/>
        <c:axId val="153529280"/>
        <c:axId val="153531360"/>
      </c:lineChart>
      <c:catAx>
        <c:axId val="153529280"/>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 of Valve Open</a:t>
                </a:r>
              </a:p>
            </c:rich>
          </c:tx>
          <c:layout>
            <c:manualLayout>
              <c:xMode val="edge"/>
              <c:yMode val="edge"/>
              <c:x val="0.39797112860892386"/>
              <c:y val="0.88432852143482066"/>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1360"/>
        <c:crosses val="autoZero"/>
        <c:auto val="1"/>
        <c:lblAlgn val="ctr"/>
        <c:lblOffset val="100"/>
        <c:noMultiLvlLbl val="0"/>
      </c:catAx>
      <c:valAx>
        <c:axId val="15353136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29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DDC to GPM</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smooth val="0"/>
          <c:extLst>
            <c:ext xmlns:c16="http://schemas.microsoft.com/office/drawing/2014/chart" uri="{C3380CC4-5D6E-409C-BE32-E72D297353CC}">
              <c16:uniqueId val="{00000000-2392-4BCB-BA56-C9FFD0122086}"/>
            </c:ext>
          </c:extLst>
        </c:ser>
        <c:dLbls>
          <c:showLegendKey val="0"/>
          <c:showVal val="0"/>
          <c:showCatName val="0"/>
          <c:showSerName val="0"/>
          <c:showPercent val="0"/>
          <c:showBubbleSize val="0"/>
        </c:dLbls>
        <c:smooth val="0"/>
        <c:axId val="1416041695"/>
        <c:axId val="1416040863"/>
      </c:lineChart>
      <c:catAx>
        <c:axId val="1416041695"/>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DDC Control Voltage</a:t>
                </a:r>
              </a:p>
            </c:rich>
          </c:tx>
          <c:layout>
            <c:manualLayout>
              <c:xMode val="edge"/>
              <c:yMode val="edge"/>
              <c:x val="0.36011679790026252"/>
              <c:y val="0.88432852143482066"/>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6040863"/>
        <c:crosses val="autoZero"/>
        <c:auto val="1"/>
        <c:lblAlgn val="ctr"/>
        <c:lblOffset val="100"/>
        <c:noMultiLvlLbl val="0"/>
      </c:catAx>
      <c:valAx>
        <c:axId val="141604086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604169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GPM to BTU Linear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line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xVal>
          <c:yVal>
            <c:numRef>
              <c:f>'Flow Curves'!$Q$10:$Q$110</c:f>
              <c:numCache>
                <c:formatCode>#,##0</c:formatCode>
                <c:ptCount val="101"/>
                <c:pt idx="0">
                  <c:v>0</c:v>
                </c:pt>
                <c:pt idx="1">
                  <c:v>0</c:v>
                </c:pt>
                <c:pt idx="2">
                  <c:v>0</c:v>
                </c:pt>
                <c:pt idx="3">
                  <c:v>0</c:v>
                </c:pt>
                <c:pt idx="4">
                  <c:v>0</c:v>
                </c:pt>
                <c:pt idx="5">
                  <c:v>0</c:v>
                </c:pt>
                <c:pt idx="6">
                  <c:v>0</c:v>
                </c:pt>
                <c:pt idx="7">
                  <c:v>93210.086663527341</c:v>
                </c:pt>
                <c:pt idx="8">
                  <c:v>96260.296285278513</c:v>
                </c:pt>
                <c:pt idx="9">
                  <c:v>99410.321056544824</c:v>
                </c:pt>
                <c:pt idx="10">
                  <c:v>102663.42733121914</c:v>
                </c:pt>
                <c:pt idx="11">
                  <c:v>106022.98835145558</c:v>
                </c:pt>
                <c:pt idx="12">
                  <c:v>109492.48774548386</c:v>
                </c:pt>
                <c:pt idx="13">
                  <c:v>113075.52313988654</c:v>
                </c:pt>
                <c:pt idx="14">
                  <c:v>116775.80989008436</c:v>
                </c:pt>
                <c:pt idx="15">
                  <c:v>120597.18493289834</c:v>
                </c:pt>
                <c:pt idx="16">
                  <c:v>124543.61076518308</c:v>
                </c:pt>
                <c:pt idx="17">
                  <c:v>128619.17955265696</c:v>
                </c:pt>
                <c:pt idx="18">
                  <c:v>132828.11737318983</c:v>
                </c:pt>
                <c:pt idx="19">
                  <c:v>137174.7885989483</c:v>
                </c:pt>
                <c:pt idx="20">
                  <c:v>141663.7004219424</c:v>
                </c:pt>
                <c:pt idx="21">
                  <c:v>146299.50752766605</c:v>
                </c:pt>
                <c:pt idx="22">
                  <c:v>151087.01692167856</c:v>
                </c:pt>
                <c:pt idx="23">
                  <c:v>156031.19291413078</c:v>
                </c:pt>
                <c:pt idx="24">
                  <c:v>161137.16226740507</c:v>
                </c:pt>
                <c:pt idx="25">
                  <c:v>166410.21951220703</c:v>
                </c:pt>
                <c:pt idx="26">
                  <c:v>171855.83243762117</c:v>
                </c:pt>
                <c:pt idx="27">
                  <c:v>177479.6477608229</c:v>
                </c:pt>
                <c:pt idx="28">
                  <c:v>183287.49698232693</c:v>
                </c:pt>
                <c:pt idx="29">
                  <c:v>189285.40243284244</c:v>
                </c:pt>
                <c:pt idx="30">
                  <c:v>195479.58351800646</c:v>
                </c:pt>
                <c:pt idx="31">
                  <c:v>201876.46316746896</c:v>
                </c:pt>
                <c:pt idx="32">
                  <c:v>208482.67449501914</c:v>
                </c:pt>
                <c:pt idx="33">
                  <c:v>215305.06767665729</c:v>
                </c:pt>
                <c:pt idx="34">
                  <c:v>222350.71705374474</c:v>
                </c:pt>
                <c:pt idx="35">
                  <c:v>229626.92846859802</c:v>
                </c:pt>
                <c:pt idx="36">
                  <c:v>237141.24684013295</c:v>
                </c:pt>
                <c:pt idx="37">
                  <c:v>244901.46398741411</c:v>
                </c:pt>
                <c:pt idx="38">
                  <c:v>252915.62670922265</c:v>
                </c:pt>
                <c:pt idx="39">
                  <c:v>261192.04512802008</c:v>
                </c:pt>
                <c:pt idx="40">
                  <c:v>269739.30130696023</c:v>
                </c:pt>
                <c:pt idx="41">
                  <c:v>278566.25814888423</c:v>
                </c:pt>
                <c:pt idx="42">
                  <c:v>287682.06858652702</c:v>
                </c:pt>
                <c:pt idx="43">
                  <c:v>297096.18507346394</c:v>
                </c:pt>
                <c:pt idx="44">
                  <c:v>306818.36938563961</c:v>
                </c:pt>
                <c:pt idx="45">
                  <c:v>316858.70274364203</c:v>
                </c:pt>
                <c:pt idx="46">
                  <c:v>327227.59626621893</c:v>
                </c:pt>
                <c:pt idx="47">
                  <c:v>337935.80176587455</c:v>
                </c:pt>
                <c:pt idx="48">
                  <c:v>348994.42289774225</c:v>
                </c:pt>
                <c:pt idx="49">
                  <c:v>360414.926673293</c:v>
                </c:pt>
                <c:pt idx="50">
                  <c:v>372209.15535081894</c:v>
                </c:pt>
                <c:pt idx="51">
                  <c:v>384389.33871502161</c:v>
                </c:pt>
                <c:pt idx="52">
                  <c:v>396968.10675843712</c:v>
                </c:pt>
                <c:pt idx="53">
                  <c:v>409958.50277784938</c:v>
                </c:pt>
                <c:pt idx="54">
                  <c:v>423373.99689927098</c:v>
                </c:pt>
                <c:pt idx="55">
                  <c:v>437228.50004551443</c:v>
                </c:pt>
                <c:pt idx="56">
                  <c:v>451536.37836083997</c:v>
                </c:pt>
                <c:pt idx="57">
                  <c:v>466312.4681076362</c:v>
                </c:pt>
                <c:pt idx="58">
                  <c:v>481572.0910505795</c:v>
                </c:pt>
                <c:pt idx="59">
                  <c:v>497331.07034422416</c:v>
                </c:pt>
                <c:pt idx="60">
                  <c:v>513605.74694050069</c:v>
                </c:pt>
                <c:pt idx="61">
                  <c:v>530412.99653313169</c:v>
                </c:pt>
                <c:pt idx="62">
                  <c:v>547770.24705653836</c:v>
                </c:pt>
                <c:pt idx="63">
                  <c:v>565695.49675738101</c:v>
                </c:pt>
                <c:pt idx="64">
                  <c:v>584207.33285747457</c:v>
                </c:pt>
                <c:pt idx="65">
                  <c:v>603324.95082742756</c:v>
                </c:pt>
                <c:pt idx="66">
                  <c:v>623068.17429099418</c:v>
                </c:pt>
                <c:pt idx="67">
                  <c:v>643457.47558077669</c:v>
                </c:pt>
                <c:pt idx="68">
                  <c:v>664513.99696659204</c:v>
                </c:pt>
                <c:pt idx="69">
                  <c:v>686259.57257851749</c:v>
                </c:pt>
                <c:pt idx="70">
                  <c:v>708716.75104734721</c:v>
                </c:pt>
                <c:pt idx="71">
                  <c:v>731908.81888593209</c:v>
                </c:pt>
                <c:pt idx="72">
                  <c:v>755859.82463565667</c:v>
                </c:pt>
                <c:pt idx="73">
                  <c:v>780594.60380308202</c:v>
                </c:pt>
                <c:pt idx="74">
                  <c:v>806138.80461261666</c:v>
                </c:pt>
                <c:pt idx="75">
                  <c:v>832518.91460192134</c:v>
                </c:pt>
                <c:pt idx="76">
                  <c:v>859762.28808761877</c:v>
                </c:pt>
                <c:pt idx="77">
                  <c:v>887897.17452979495</c:v>
                </c:pt>
                <c:pt idx="78">
                  <c:v>916952.74782469985</c:v>
                </c:pt>
                <c:pt idx="79">
                  <c:v>946959.13655602338</c:v>
                </c:pt>
                <c:pt idx="80">
                  <c:v>977947.45523611654</c:v>
                </c:pt>
                <c:pt idx="81">
                  <c:v>1009949.8365695479</c:v>
                </c:pt>
                <c:pt idx="82">
                  <c:v>1042999.464772457</c:v>
                </c:pt>
                <c:pt idx="83">
                  <c:v>1077130.6099822514</c:v>
                </c:pt>
                <c:pt idx="84">
                  <c:v>1112378.6637933231</c:v>
                </c:pt>
                <c:pt idx="85">
                  <c:v>1148780.1759556422</c:v>
                </c:pt>
                <c:pt idx="86">
                  <c:v>1186372.8922742736</c:v>
                </c:pt>
                <c:pt idx="87">
                  <c:v>1225195.7937491185</c:v>
                </c:pt>
                <c:pt idx="88">
                  <c:v>1265289.1369954676</c:v>
                </c:pt>
                <c:pt idx="89">
                  <c:v>1306694.4959872761</c:v>
                </c:pt>
                <c:pt idx="90">
                  <c:v>1349454.8051664478</c:v>
                </c:pt>
                <c:pt idx="91">
                  <c:v>1393614.4039628275</c:v>
                </c:pt>
                <c:pt idx="92">
                  <c:v>1439219.0827710696</c:v>
                </c:pt>
                <c:pt idx="93">
                  <c:v>1486316.1304320516</c:v>
                </c:pt>
                <c:pt idx="94">
                  <c:v>1534954.3832680711</c:v>
                </c:pt>
                <c:pt idx="95">
                  <c:v>1585184.2757226781</c:v>
                </c:pt>
                <c:pt idx="96">
                  <c:v>1637057.8926576369</c:v>
                </c:pt>
                <c:pt idx="97">
                  <c:v>1690629.0233612631</c:v>
                </c:pt>
                <c:pt idx="98">
                  <c:v>1745953.2173241286</c:v>
                </c:pt>
                <c:pt idx="99">
                  <c:v>1803087.8418399696</c:v>
                </c:pt>
                <c:pt idx="100">
                  <c:v>1862092.1414915335</c:v>
                </c:pt>
              </c:numCache>
            </c:numRef>
          </c:yVal>
          <c:smooth val="0"/>
          <c:extLst>
            <c:ext xmlns:c16="http://schemas.microsoft.com/office/drawing/2014/chart" uri="{C3380CC4-5D6E-409C-BE32-E72D297353CC}">
              <c16:uniqueId val="{00000000-F289-4066-A9EB-D0481A74D758}"/>
            </c:ext>
          </c:extLst>
        </c:ser>
        <c:dLbls>
          <c:showLegendKey val="0"/>
          <c:showVal val="0"/>
          <c:showCatName val="0"/>
          <c:showSerName val="0"/>
          <c:showPercent val="0"/>
          <c:showBubbleSize val="0"/>
        </c:dLbls>
        <c:axId val="68722128"/>
        <c:axId val="68714640"/>
      </c:scatterChart>
      <c:valAx>
        <c:axId val="68722128"/>
        <c:scaling>
          <c:orientation val="minMax"/>
        </c:scaling>
        <c:delete val="0"/>
        <c:axPos val="b"/>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714640"/>
        <c:crosses val="autoZero"/>
        <c:crossBetween val="midCat"/>
      </c:valAx>
      <c:valAx>
        <c:axId val="6871464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722128"/>
        <c:crosses val="autoZero"/>
        <c:crossBetween val="midCat"/>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13193350831146"/>
          <c:y val="7.453416149068323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388735619800939"/>
          <c:y val="7.0473609277761112E-2"/>
          <c:w val="0.84596062992125987"/>
          <c:h val="0.72088764946048411"/>
        </c:manualLayout>
      </c:layout>
      <c:bar3DChart>
        <c:barDir val="col"/>
        <c:grouping val="clustered"/>
        <c:varyColors val="0"/>
        <c:ser>
          <c:idx val="0"/>
          <c:order val="0"/>
          <c:tx>
            <c:strRef>
              <c:f>Results!$E$19</c:f>
              <c:strCache>
                <c:ptCount val="1"/>
                <c:pt idx="0">
                  <c:v>Pumping Cost</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Results!$B$20:$B$25</c:f>
              <c:numCache>
                <c:formatCode>0</c:formatCode>
                <c:ptCount val="6"/>
                <c:pt idx="0">
                  <c:v>4</c:v>
                </c:pt>
                <c:pt idx="1">
                  <c:v>6</c:v>
                </c:pt>
                <c:pt idx="2">
                  <c:v>8</c:v>
                </c:pt>
                <c:pt idx="3">
                  <c:v>10</c:v>
                </c:pt>
                <c:pt idx="4">
                  <c:v>12</c:v>
                </c:pt>
                <c:pt idx="5">
                  <c:v>14</c:v>
                </c:pt>
              </c:numCache>
            </c:numRef>
          </c:cat>
          <c:val>
            <c:numRef>
              <c:f>Results!$E$20:$E$25</c:f>
              <c:numCache>
                <c:formatCode>"$"#,##0</c:formatCode>
                <c:ptCount val="6"/>
                <c:pt idx="0">
                  <c:v>2686.9063904231421</c:v>
                </c:pt>
                <c:pt idx="1">
                  <c:v>2359.1038107915188</c:v>
                </c:pt>
                <c:pt idx="2">
                  <c:v>1796.1969219978707</c:v>
                </c:pt>
                <c:pt idx="3">
                  <c:v>1170.0295091480994</c:v>
                </c:pt>
                <c:pt idx="4">
                  <c:v>677.10041038663189</c:v>
                </c:pt>
                <c:pt idx="5">
                  <c:v>426.39559371286435</c:v>
                </c:pt>
              </c:numCache>
            </c:numRef>
          </c:val>
          <c:extLst>
            <c:ext xmlns:c16="http://schemas.microsoft.com/office/drawing/2014/chart" uri="{C3380CC4-5D6E-409C-BE32-E72D297353CC}">
              <c16:uniqueId val="{00000000-2454-420E-BF50-0EDAB20654A6}"/>
            </c:ext>
          </c:extLst>
        </c:ser>
        <c:dLbls>
          <c:showLegendKey val="0"/>
          <c:showVal val="1"/>
          <c:showCatName val="0"/>
          <c:showSerName val="0"/>
          <c:showPercent val="0"/>
          <c:showBubbleSize val="0"/>
        </c:dLbls>
        <c:gapWidth val="65"/>
        <c:shape val="box"/>
        <c:axId val="23423376"/>
        <c:axId val="23423792"/>
        <c:axId val="0"/>
      </c:bar3DChart>
      <c:catAx>
        <c:axId val="234233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Delta-T [°F]</a:t>
                </a:r>
              </a:p>
            </c:rich>
          </c:tx>
          <c:layout>
            <c:manualLayout>
              <c:xMode val="edge"/>
              <c:yMode val="edge"/>
              <c:x val="0.41558398950131231"/>
              <c:y val="0.90557604212516918"/>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0"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3423792"/>
        <c:crosses val="autoZero"/>
        <c:auto val="1"/>
        <c:lblAlgn val="ctr"/>
        <c:lblOffset val="100"/>
        <c:noMultiLvlLbl val="0"/>
      </c:catAx>
      <c:valAx>
        <c:axId val="23423792"/>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Pumping Costs </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3423376"/>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croll" dx="26" horiz="1" max="5" val="5"/>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4.jpeg"/><Relationship Id="rId5" Type="http://schemas.openxmlformats.org/officeDocument/2006/relationships/hyperlink" Target="https://ecv.microsoft.com/vrNtkzFNqS" TargetMode="External"/><Relationship Id="rId4" Type="http://schemas.microsoft.com/office/2007/relationships/hdphoto" Target="../media/hdphoto1.wdp"/></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5.png"/><Relationship Id="rId6" Type="http://schemas.openxmlformats.org/officeDocument/2006/relationships/hyperlink" Target="https://www.belimo.com/us/en_US/products/valves/product-documentation/energy-valve#product-range" TargetMode="External"/><Relationship Id="rId5" Type="http://schemas.openxmlformats.org/officeDocument/2006/relationships/image" Target="../media/image6.png"/><Relationship Id="rId4" Type="http://schemas.microsoft.com/office/2007/relationships/hdphoto" Target="../media/hdphoto1.wdp"/></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8</xdr:col>
      <xdr:colOff>28575</xdr:colOff>
      <xdr:row>47</xdr:row>
      <xdr:rowOff>139700</xdr:rowOff>
    </xdr:from>
    <xdr:to>
      <xdr:col>10</xdr:col>
      <xdr:colOff>605789</xdr:colOff>
      <xdr:row>57</xdr:row>
      <xdr:rowOff>68003</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513108" y="9757833"/>
          <a:ext cx="2270548" cy="1731703"/>
        </a:xfrm>
        <a:prstGeom prst="rect">
          <a:avLst/>
        </a:prstGeom>
        <a:ln w="25400">
          <a:solidFill>
            <a:schemeClr val="accent3"/>
          </a:solidFill>
        </a:ln>
      </xdr:spPr>
    </xdr:pic>
    <xdr:clientData/>
  </xdr:twoCellAnchor>
  <xdr:twoCellAnchor>
    <xdr:from>
      <xdr:col>0</xdr:col>
      <xdr:colOff>400050</xdr:colOff>
      <xdr:row>7</xdr:row>
      <xdr:rowOff>110490</xdr:rowOff>
    </xdr:from>
    <xdr:to>
      <xdr:col>7</xdr:col>
      <xdr:colOff>285750</xdr:colOff>
      <xdr:row>8</xdr:row>
      <xdr:rowOff>160020</xdr:rowOff>
    </xdr:to>
    <xdr:sp macro="" textlink="">
      <xdr:nvSpPr>
        <xdr:cNvPr id="9" name="HdrCoilDesignInput">
          <a:extLst>
            <a:ext uri="{FF2B5EF4-FFF2-40B4-BE49-F238E27FC236}">
              <a16:creationId xmlns:a16="http://schemas.microsoft.com/office/drawing/2014/main" id="{00000000-0008-0000-0000-000009000000}"/>
            </a:ext>
          </a:extLst>
        </xdr:cNvPr>
        <xdr:cNvSpPr/>
      </xdr:nvSpPr>
      <xdr:spPr>
        <a:xfrm>
          <a:off x="400050" y="1072515"/>
          <a:ext cx="6276975" cy="31623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Input Data</a:t>
          </a:r>
        </a:p>
      </xdr:txBody>
    </xdr:sp>
    <xdr:clientData/>
  </xdr:twoCellAnchor>
  <xdr:twoCellAnchor>
    <xdr:from>
      <xdr:col>0</xdr:col>
      <xdr:colOff>400050</xdr:colOff>
      <xdr:row>21</xdr:row>
      <xdr:rowOff>57150</xdr:rowOff>
    </xdr:from>
    <xdr:to>
      <xdr:col>7</xdr:col>
      <xdr:colOff>285750</xdr:colOff>
      <xdr:row>22</xdr:row>
      <xdr:rowOff>168468</xdr:rowOff>
    </xdr:to>
    <xdr:sp macro="" textlink="">
      <xdr:nvSpPr>
        <xdr:cNvPr id="11" name="HdrOperatingTimeInput">
          <a:extLst>
            <a:ext uri="{FF2B5EF4-FFF2-40B4-BE49-F238E27FC236}">
              <a16:creationId xmlns:a16="http://schemas.microsoft.com/office/drawing/2014/main" id="{00000000-0008-0000-0000-00000B000000}"/>
            </a:ext>
          </a:extLst>
        </xdr:cNvPr>
        <xdr:cNvSpPr/>
      </xdr:nvSpPr>
      <xdr:spPr>
        <a:xfrm>
          <a:off x="400050" y="3838575"/>
          <a:ext cx="627697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Operating Time Input Data</a:t>
          </a:r>
        </a:p>
      </xdr:txBody>
    </xdr:sp>
    <xdr:clientData/>
  </xdr:twoCellAnchor>
  <xdr:twoCellAnchor>
    <xdr:from>
      <xdr:col>0</xdr:col>
      <xdr:colOff>400050</xdr:colOff>
      <xdr:row>37</xdr:row>
      <xdr:rowOff>160020</xdr:rowOff>
    </xdr:from>
    <xdr:to>
      <xdr:col>7</xdr:col>
      <xdr:colOff>283845</xdr:colOff>
      <xdr:row>39</xdr:row>
      <xdr:rowOff>99888</xdr:rowOff>
    </xdr:to>
    <xdr:sp macro="" textlink="">
      <xdr:nvSpPr>
        <xdr:cNvPr id="12" name="HdrClimateRegionInput">
          <a:extLst>
            <a:ext uri="{FF2B5EF4-FFF2-40B4-BE49-F238E27FC236}">
              <a16:creationId xmlns:a16="http://schemas.microsoft.com/office/drawing/2014/main" id="{00000000-0008-0000-0000-00000C000000}"/>
            </a:ext>
          </a:extLst>
        </xdr:cNvPr>
        <xdr:cNvSpPr/>
      </xdr:nvSpPr>
      <xdr:spPr>
        <a:xfrm>
          <a:off x="400050" y="6875145"/>
          <a:ext cx="6275070" cy="3113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Climate Region Degree Day Input Data</a:t>
          </a:r>
        </a:p>
      </xdr:txBody>
    </xdr:sp>
    <xdr:clientData/>
  </xdr:twoCellAnchor>
  <xdr:twoCellAnchor>
    <xdr:from>
      <xdr:col>0</xdr:col>
      <xdr:colOff>415291</xdr:colOff>
      <xdr:row>0</xdr:row>
      <xdr:rowOff>41778</xdr:rowOff>
    </xdr:from>
    <xdr:to>
      <xdr:col>10</xdr:col>
      <xdr:colOff>581024</xdr:colOff>
      <xdr:row>3</xdr:row>
      <xdr:rowOff>7912</xdr:rowOff>
    </xdr:to>
    <xdr:grpSp>
      <xdr:nvGrpSpPr>
        <xdr:cNvPr id="3" name="BannerGroup">
          <a:extLst>
            <a:ext uri="{FF2B5EF4-FFF2-40B4-BE49-F238E27FC236}">
              <a16:creationId xmlns:a16="http://schemas.microsoft.com/office/drawing/2014/main" id="{00000000-0008-0000-0000-000003000000}"/>
            </a:ext>
          </a:extLst>
        </xdr:cNvPr>
        <xdr:cNvGrpSpPr/>
      </xdr:nvGrpSpPr>
      <xdr:grpSpPr>
        <a:xfrm>
          <a:off x="415291" y="41778"/>
          <a:ext cx="9343600" cy="914401"/>
          <a:chOff x="5640" y="22816"/>
          <a:chExt cx="6191250" cy="478463"/>
        </a:xfrm>
      </xdr:grpSpPr>
      <xdr:sp macro="" textlink="">
        <xdr:nvSpPr>
          <xdr:cNvPr id="4" name="Rectangle: Rounded Corners 23">
            <a:extLst>
              <a:ext uri="{FF2B5EF4-FFF2-40B4-BE49-F238E27FC236}">
                <a16:creationId xmlns:a16="http://schemas.microsoft.com/office/drawing/2014/main" id="{00000000-0008-0000-0000-000004000000}"/>
              </a:ext>
            </a:extLst>
          </xdr:cNvPr>
          <xdr:cNvSpPr/>
        </xdr:nvSpPr>
        <xdr:spPr>
          <a:xfrm>
            <a:off x="5640" y="34036"/>
            <a:ext cx="6191250" cy="440952"/>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 name="Picture 1">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8183"/>
          <a:stretch/>
        </xdr:blipFill>
        <xdr:spPr>
          <a:xfrm>
            <a:off x="231986" y="100236"/>
            <a:ext cx="675292" cy="239231"/>
          </a:xfrm>
          <a:prstGeom prst="rect">
            <a:avLst/>
          </a:prstGeom>
        </xdr:spPr>
      </xdr:pic>
      <xdr:pic>
        <xdr:nvPicPr>
          <xdr:cNvPr id="7" name="Picture 9">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10000" b="90000" l="10000" r="90000"/>
                    </a14:imgEffect>
                  </a14:imgLayer>
                </a14:imgProps>
              </a:ext>
            </a:extLst>
          </a:blip>
          <a:stretch>
            <a:fillRect/>
          </a:stretch>
        </xdr:blipFill>
        <xdr:spPr>
          <a:xfrm>
            <a:off x="5352207" y="22816"/>
            <a:ext cx="625936" cy="478463"/>
          </a:xfrm>
          <a:prstGeom prst="rect">
            <a:avLst/>
          </a:prstGeom>
        </xdr:spPr>
      </xdr:pic>
      <xdr:sp macro="" textlink="">
        <xdr:nvSpPr>
          <xdr:cNvPr id="8" name="TextBox 24">
            <a:extLst>
              <a:ext uri="{FF2B5EF4-FFF2-40B4-BE49-F238E27FC236}">
                <a16:creationId xmlns:a16="http://schemas.microsoft.com/office/drawing/2014/main" id="{00000000-0008-0000-0000-000008000000}"/>
              </a:ext>
            </a:extLst>
          </xdr:cNvPr>
          <xdr:cNvSpPr txBox="1"/>
        </xdr:nvSpPr>
        <xdr:spPr>
          <a:xfrm>
            <a:off x="1131287" y="38100"/>
            <a:ext cx="4052265" cy="454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8</xdr:col>
      <xdr:colOff>388620</xdr:colOff>
      <xdr:row>7</xdr:row>
      <xdr:rowOff>125730</xdr:rowOff>
    </xdr:from>
    <xdr:to>
      <xdr:col>10</xdr:col>
      <xdr:colOff>93345</xdr:colOff>
      <xdr:row>8</xdr:row>
      <xdr:rowOff>140970</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7873153" y="2073063"/>
          <a:ext cx="1398059" cy="286174"/>
          <a:chOff x="7669530" y="1564005"/>
          <a:chExt cx="1358265" cy="276225"/>
        </a:xfrm>
      </xdr:grpSpPr>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2</a:t>
            </a:r>
          </a:p>
        </xdr:txBody>
      </xdr:sp>
      <xdr:sp macro="" textlink="">
        <xdr:nvSpPr>
          <xdr:cNvPr id="15" name="Oval 14">
            <a:extLst>
              <a:ext uri="{FF2B5EF4-FFF2-40B4-BE49-F238E27FC236}">
                <a16:creationId xmlns:a16="http://schemas.microsoft.com/office/drawing/2014/main" id="{00000000-0008-0000-0000-00000F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432435</xdr:colOff>
      <xdr:row>9</xdr:row>
      <xdr:rowOff>3810</xdr:rowOff>
    </xdr:from>
    <xdr:to>
      <xdr:col>10</xdr:col>
      <xdr:colOff>83820</xdr:colOff>
      <xdr:row>20</xdr:row>
      <xdr:rowOff>54610</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7916968" y="2603077"/>
          <a:ext cx="1344719" cy="200660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t>Enter into the boxes on the left, the:
Electric Costs
Coil Design Flow
Operating Hours
Pump Head
Motor Efficiency
Delta T values</a:t>
          </a:r>
        </a:p>
      </xdr:txBody>
    </xdr:sp>
    <xdr:clientData/>
  </xdr:twoCellAnchor>
  <xdr:twoCellAnchor>
    <xdr:from>
      <xdr:col>8</xdr:col>
      <xdr:colOff>388620</xdr:colOff>
      <xdr:row>21</xdr:row>
      <xdr:rowOff>53340</xdr:rowOff>
    </xdr:from>
    <xdr:to>
      <xdr:col>10</xdr:col>
      <xdr:colOff>93345</xdr:colOff>
      <xdr:row>22</xdr:row>
      <xdr:rowOff>158115</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7873153" y="4786207"/>
          <a:ext cx="1398059" cy="282575"/>
          <a:chOff x="7669530" y="1564005"/>
          <a:chExt cx="1358265" cy="276225"/>
        </a:xfrm>
      </xdr:grpSpPr>
      <xdr:sp macro="" textlink="">
        <xdr:nvSpPr>
          <xdr:cNvPr id="19" name="Rectangle: Rounded Corners 18">
            <a:extLst>
              <a:ext uri="{FF2B5EF4-FFF2-40B4-BE49-F238E27FC236}">
                <a16:creationId xmlns:a16="http://schemas.microsoft.com/office/drawing/2014/main" id="{00000000-0008-0000-0000-000013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3</a:t>
            </a:r>
          </a:p>
        </xdr:txBody>
      </xdr:sp>
      <xdr:sp macro="" textlink="">
        <xdr:nvSpPr>
          <xdr:cNvPr id="20" name="Oval 19">
            <a:extLst>
              <a:ext uri="{FF2B5EF4-FFF2-40B4-BE49-F238E27FC236}">
                <a16:creationId xmlns:a16="http://schemas.microsoft.com/office/drawing/2014/main" id="{00000000-0008-0000-0000-000014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419100</xdr:colOff>
      <xdr:row>25</xdr:row>
      <xdr:rowOff>34290</xdr:rowOff>
    </xdr:from>
    <xdr:to>
      <xdr:col>10</xdr:col>
      <xdr:colOff>167640</xdr:colOff>
      <xdr:row>37</xdr:row>
      <xdr:rowOff>68157</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7903633" y="5478357"/>
          <a:ext cx="1441874" cy="241300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t>Enter into the boxes on the left, the:
Climate Region from the drop down box
% of Operating Time
Enter Percentages of operating time.
</a:t>
          </a:r>
          <a:endParaRPr lang="en-US" sz="1000"/>
        </a:p>
      </xdr:txBody>
    </xdr:sp>
    <xdr:clientData/>
  </xdr:twoCellAnchor>
  <xdr:twoCellAnchor>
    <xdr:from>
      <xdr:col>8</xdr:col>
      <xdr:colOff>388620</xdr:colOff>
      <xdr:row>37</xdr:row>
      <xdr:rowOff>163830</xdr:rowOff>
    </xdr:from>
    <xdr:to>
      <xdr:col>10</xdr:col>
      <xdr:colOff>93345</xdr:colOff>
      <xdr:row>39</xdr:row>
      <xdr:rowOff>104775</xdr:rowOff>
    </xdr:to>
    <xdr:grpSp>
      <xdr:nvGrpSpPr>
        <xdr:cNvPr id="26" name="Step3Group">
          <a:extLst>
            <a:ext uri="{FF2B5EF4-FFF2-40B4-BE49-F238E27FC236}">
              <a16:creationId xmlns:a16="http://schemas.microsoft.com/office/drawing/2014/main" id="{00000000-0008-0000-0000-00001A000000}"/>
            </a:ext>
          </a:extLst>
        </xdr:cNvPr>
        <xdr:cNvGrpSpPr/>
      </xdr:nvGrpSpPr>
      <xdr:grpSpPr>
        <a:xfrm>
          <a:off x="7873153" y="7987030"/>
          <a:ext cx="1398059" cy="313478"/>
          <a:chOff x="7669530" y="1564005"/>
          <a:chExt cx="1358265" cy="276225"/>
        </a:xfrm>
      </xdr:grpSpPr>
      <xdr:sp macro="" textlink="">
        <xdr:nvSpPr>
          <xdr:cNvPr id="27" name="Rectangle: Rounded Corners 26">
            <a:extLst>
              <a:ext uri="{FF2B5EF4-FFF2-40B4-BE49-F238E27FC236}">
                <a16:creationId xmlns:a16="http://schemas.microsoft.com/office/drawing/2014/main" id="{00000000-0008-0000-0000-00001B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4</a:t>
            </a:r>
          </a:p>
        </xdr:txBody>
      </xdr:sp>
      <xdr:sp macro="" textlink="">
        <xdr:nvSpPr>
          <xdr:cNvPr id="28" name="Oval 27">
            <a:extLst>
              <a:ext uri="{FF2B5EF4-FFF2-40B4-BE49-F238E27FC236}">
                <a16:creationId xmlns:a16="http://schemas.microsoft.com/office/drawing/2014/main" id="{00000000-0008-0000-0000-00001C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432435</xdr:colOff>
      <xdr:row>40</xdr:row>
      <xdr:rowOff>95249</xdr:rowOff>
    </xdr:from>
    <xdr:to>
      <xdr:col>10</xdr:col>
      <xdr:colOff>85725</xdr:colOff>
      <xdr:row>47</xdr:row>
      <xdr:rowOff>57149</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7916968" y="8468782"/>
          <a:ext cx="1346624" cy="120650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t>Verify your Climate Region or select custom and insert your own value.
</a:t>
          </a:r>
          <a:endParaRPr lang="en-US" sz="1000"/>
        </a:p>
      </xdr:txBody>
    </xdr:sp>
    <xdr:clientData/>
  </xdr:twoCellAnchor>
  <xdr:twoCellAnchor editAs="oneCell">
    <xdr:from>
      <xdr:col>4</xdr:col>
      <xdr:colOff>1226820</xdr:colOff>
      <xdr:row>16</xdr:row>
      <xdr:rowOff>38100</xdr:rowOff>
    </xdr:from>
    <xdr:to>
      <xdr:col>4</xdr:col>
      <xdr:colOff>1383030</xdr:colOff>
      <xdr:row>16</xdr:row>
      <xdr:rowOff>156210</xdr:rowOff>
    </xdr:to>
    <xdr:sp macro="[0]!InfoClick" textlink="">
      <xdr:nvSpPr>
        <xdr:cNvPr id="36" name="Oval 35">
          <a:extLst>
            <a:ext uri="{FF2B5EF4-FFF2-40B4-BE49-F238E27FC236}">
              <a16:creationId xmlns:a16="http://schemas.microsoft.com/office/drawing/2014/main" id="{00000000-0008-0000-0000-000024000000}"/>
            </a:ext>
          </a:extLst>
        </xdr:cNvPr>
        <xdr:cNvSpPr>
          <a:spLocks noChangeAspect="1"/>
        </xdr:cNvSpPr>
      </xdr:nvSpPr>
      <xdr:spPr>
        <a:xfrm>
          <a:off x="3855720" y="3848100"/>
          <a:ext cx="15621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8</xdr:col>
      <xdr:colOff>388620</xdr:colOff>
      <xdr:row>57</xdr:row>
      <xdr:rowOff>99060</xdr:rowOff>
    </xdr:from>
    <xdr:to>
      <xdr:col>10</xdr:col>
      <xdr:colOff>89535</xdr:colOff>
      <xdr:row>59</xdr:row>
      <xdr:rowOff>30480</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7873153" y="11520593"/>
          <a:ext cx="1394249" cy="287020"/>
          <a:chOff x="7669530" y="1564005"/>
          <a:chExt cx="1358265" cy="276225"/>
        </a:xfrm>
      </xdr:grpSpPr>
      <xdr:sp macro="" textlink="">
        <xdr:nvSpPr>
          <xdr:cNvPr id="38" name="Rectangle: Rounded Corners 37">
            <a:extLst>
              <a:ext uri="{FF2B5EF4-FFF2-40B4-BE49-F238E27FC236}">
                <a16:creationId xmlns:a16="http://schemas.microsoft.com/office/drawing/2014/main" id="{00000000-0008-0000-0000-000026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5</a:t>
            </a:r>
          </a:p>
        </xdr:txBody>
      </xdr:sp>
      <xdr:sp macro="" textlink="">
        <xdr:nvSpPr>
          <xdr:cNvPr id="39" name="Oval 38">
            <a:extLst>
              <a:ext uri="{FF2B5EF4-FFF2-40B4-BE49-F238E27FC236}">
                <a16:creationId xmlns:a16="http://schemas.microsoft.com/office/drawing/2014/main" id="{00000000-0008-0000-0000-000027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466090</xdr:colOff>
      <xdr:row>59</xdr:row>
      <xdr:rowOff>170602</xdr:rowOff>
    </xdr:from>
    <xdr:to>
      <xdr:col>10</xdr:col>
      <xdr:colOff>174625</xdr:colOff>
      <xdr:row>67</xdr:row>
      <xdr:rowOff>18202</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7950623" y="11947735"/>
          <a:ext cx="1401869" cy="127000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t>Enter the estimated cost to purchase Energy Valves and the cost of installation.
</a:t>
          </a:r>
          <a:endParaRPr lang="en-US" sz="1000"/>
        </a:p>
      </xdr:txBody>
    </xdr:sp>
    <xdr:clientData/>
  </xdr:twoCellAnchor>
  <xdr:twoCellAnchor editAs="oneCell">
    <xdr:from>
      <xdr:col>10</xdr:col>
      <xdr:colOff>355600</xdr:colOff>
      <xdr:row>3</xdr:row>
      <xdr:rowOff>60111</xdr:rowOff>
    </xdr:from>
    <xdr:to>
      <xdr:col>10</xdr:col>
      <xdr:colOff>609600</xdr:colOff>
      <xdr:row>3</xdr:row>
      <xdr:rowOff>314111</xdr:rowOff>
    </xdr:to>
    <xdr:sp macro="[0]!ShowAboutDlg" textlink="">
      <xdr:nvSpPr>
        <xdr:cNvPr id="41" name="Oval 40">
          <a:extLst>
            <a:ext uri="{FF2B5EF4-FFF2-40B4-BE49-F238E27FC236}">
              <a16:creationId xmlns:a16="http://schemas.microsoft.com/office/drawing/2014/main" id="{00000000-0008-0000-0000-000029000000}"/>
            </a:ext>
          </a:extLst>
        </xdr:cNvPr>
        <xdr:cNvSpPr>
          <a:spLocks/>
        </xdr:cNvSpPr>
      </xdr:nvSpPr>
      <xdr:spPr>
        <a:xfrm>
          <a:off x="9530080" y="1004991"/>
          <a:ext cx="254000" cy="254000"/>
        </a:xfrm>
        <a:prstGeom prst="ellipse">
          <a:avLst/>
        </a:prstGeom>
        <a:solidFill>
          <a:srgbClr val="3B7898"/>
        </a:solidFill>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solidFill>
                <a:srgbClr val="FFFFFF"/>
              </a:solidFill>
              <a:latin typeface="HelveticaNeueLT Std Lt"/>
            </a:rPr>
            <a:t>i</a:t>
          </a:r>
        </a:p>
      </xdr:txBody>
    </xdr:sp>
    <xdr:clientData fPrintsWithSheet="0"/>
  </xdr:twoCellAnchor>
  <xdr:twoCellAnchor editAs="oneCell">
    <xdr:from>
      <xdr:col>4</xdr:col>
      <xdr:colOff>1226820</xdr:colOff>
      <xdr:row>11</xdr:row>
      <xdr:rowOff>38100</xdr:rowOff>
    </xdr:from>
    <xdr:to>
      <xdr:col>4</xdr:col>
      <xdr:colOff>1375410</xdr:colOff>
      <xdr:row>11</xdr:row>
      <xdr:rowOff>156210</xdr:rowOff>
    </xdr:to>
    <xdr:sp macro="[0]!InfoClick" textlink="">
      <xdr:nvSpPr>
        <xdr:cNvPr id="43" name="Oval 42">
          <a:extLst>
            <a:ext uri="{FF2B5EF4-FFF2-40B4-BE49-F238E27FC236}">
              <a16:creationId xmlns:a16="http://schemas.microsoft.com/office/drawing/2014/main" id="{00000000-0008-0000-0000-00002B000000}"/>
            </a:ext>
          </a:extLst>
        </xdr:cNvPr>
        <xdr:cNvSpPr>
          <a:spLocks noChangeAspect="1"/>
        </xdr:cNvSpPr>
      </xdr:nvSpPr>
      <xdr:spPr>
        <a:xfrm>
          <a:off x="3794760" y="201930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0</xdr:col>
      <xdr:colOff>450851</xdr:colOff>
      <xdr:row>69</xdr:row>
      <xdr:rowOff>44449</xdr:rowOff>
    </xdr:from>
    <xdr:to>
      <xdr:col>7</xdr:col>
      <xdr:colOff>334646</xdr:colOff>
      <xdr:row>70</xdr:row>
      <xdr:rowOff>152592</xdr:rowOff>
    </xdr:to>
    <xdr:sp macro="" textlink="">
      <xdr:nvSpPr>
        <xdr:cNvPr id="2" name="HdrDisclaimer">
          <a:extLst>
            <a:ext uri="{FF2B5EF4-FFF2-40B4-BE49-F238E27FC236}">
              <a16:creationId xmlns:a16="http://schemas.microsoft.com/office/drawing/2014/main" id="{00000000-0008-0000-0000-000002000000}"/>
            </a:ext>
          </a:extLst>
        </xdr:cNvPr>
        <xdr:cNvSpPr/>
      </xdr:nvSpPr>
      <xdr:spPr>
        <a:xfrm>
          <a:off x="450851" y="12397316"/>
          <a:ext cx="6453928" cy="2859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Disclaimer</a:t>
          </a:r>
        </a:p>
      </xdr:txBody>
    </xdr:sp>
    <xdr:clientData/>
  </xdr:twoCellAnchor>
  <xdr:twoCellAnchor>
    <xdr:from>
      <xdr:col>0</xdr:col>
      <xdr:colOff>387348</xdr:colOff>
      <xdr:row>72</xdr:row>
      <xdr:rowOff>24339</xdr:rowOff>
    </xdr:from>
    <xdr:to>
      <xdr:col>7</xdr:col>
      <xdr:colOff>745066</xdr:colOff>
      <xdr:row>80</xdr:row>
      <xdr:rowOff>160866</xdr:rowOff>
    </xdr:to>
    <xdr:sp macro="" textlink="">
      <xdr:nvSpPr>
        <xdr:cNvPr id="10" name="Rectangle 9">
          <a:extLst>
            <a:ext uri="{FF2B5EF4-FFF2-40B4-BE49-F238E27FC236}">
              <a16:creationId xmlns:a16="http://schemas.microsoft.com/office/drawing/2014/main" id="{00000000-0008-0000-0000-00000A000000}"/>
            </a:ext>
          </a:extLst>
        </xdr:cNvPr>
        <xdr:cNvSpPr/>
      </xdr:nvSpPr>
      <xdr:spPr>
        <a:xfrm>
          <a:off x="387348" y="12910606"/>
          <a:ext cx="6927851" cy="1558927"/>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This tool is not copyrighted by Belimo Aircontrols (USA), Inc. 
This is strictly an estimating Tool to be used Internally Only.  
Results are dependent upon the accuracy of the data entered, and do not take into consideration any external factors. The results are designed to look at the effects of pump costs over various Delta T values for a single coil utilizing standard calculations via Pump Affinity Rules. 
This tool was designed to help answer the following question:
"So...how much will this smart valve save me on this air handler?"</a:t>
          </a:r>
        </a:p>
      </xdr:txBody>
    </xdr:sp>
    <xdr:clientData/>
  </xdr:twoCellAnchor>
  <xdr:twoCellAnchor>
    <xdr:from>
      <xdr:col>0</xdr:col>
      <xdr:colOff>397933</xdr:colOff>
      <xdr:row>82</xdr:row>
      <xdr:rowOff>120651</xdr:rowOff>
    </xdr:from>
    <xdr:to>
      <xdr:col>3</xdr:col>
      <xdr:colOff>359833</xdr:colOff>
      <xdr:row>84</xdr:row>
      <xdr:rowOff>50994</xdr:rowOff>
    </xdr:to>
    <xdr:sp macro="" textlink="">
      <xdr:nvSpPr>
        <xdr:cNvPr id="23" name="HdrFeedback">
          <a:extLst>
            <a:ext uri="{FF2B5EF4-FFF2-40B4-BE49-F238E27FC236}">
              <a16:creationId xmlns:a16="http://schemas.microsoft.com/office/drawing/2014/main" id="{00000000-0008-0000-0000-000017000000}"/>
            </a:ext>
          </a:extLst>
        </xdr:cNvPr>
        <xdr:cNvSpPr/>
      </xdr:nvSpPr>
      <xdr:spPr>
        <a:xfrm>
          <a:off x="397933" y="14784918"/>
          <a:ext cx="1968500" cy="2859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xdr:from>
      <xdr:col>0</xdr:col>
      <xdr:colOff>400050</xdr:colOff>
      <xdr:row>3</xdr:row>
      <xdr:rowOff>42335</xdr:rowOff>
    </xdr:from>
    <xdr:to>
      <xdr:col>7</xdr:col>
      <xdr:colOff>287867</xdr:colOff>
      <xdr:row>3</xdr:row>
      <xdr:rowOff>347135</xdr:rowOff>
    </xdr:to>
    <xdr:sp macro="" textlink="">
      <xdr:nvSpPr>
        <xdr:cNvPr id="14" name="HdrLanguageUnitSelection">
          <a:extLst>
            <a:ext uri="{FF2B5EF4-FFF2-40B4-BE49-F238E27FC236}">
              <a16:creationId xmlns:a16="http://schemas.microsoft.com/office/drawing/2014/main" id="{73C1CAEC-7DAC-598C-F044-2324A71CCDEC}"/>
            </a:ext>
          </a:extLst>
        </xdr:cNvPr>
        <xdr:cNvSpPr/>
      </xdr:nvSpPr>
      <xdr:spPr>
        <a:xfrm>
          <a:off x="400050" y="990602"/>
          <a:ext cx="6457950" cy="304800"/>
        </a:xfrm>
        <a:prstGeom prst="roundRect">
          <a:avLst/>
        </a:prstGeom>
        <a:solidFill>
          <a:srgbClr val="FF6600"/>
        </a:solidFill>
        <a:ln>
          <a:solidFill>
            <a:srgbClr val="FFFFFF"/>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Language &amp; Unit Selection</a:t>
          </a:r>
        </a:p>
      </xdr:txBody>
    </xdr:sp>
    <xdr:clientData/>
  </xdr:twoCellAnchor>
  <xdr:twoCellAnchor>
    <xdr:from>
      <xdr:col>0</xdr:col>
      <xdr:colOff>340783</xdr:colOff>
      <xdr:row>57</xdr:row>
      <xdr:rowOff>152401</xdr:rowOff>
    </xdr:from>
    <xdr:to>
      <xdr:col>7</xdr:col>
      <xdr:colOff>223943</xdr:colOff>
      <xdr:row>59</xdr:row>
      <xdr:rowOff>104141</xdr:rowOff>
    </xdr:to>
    <xdr:sp macro="" textlink="">
      <xdr:nvSpPr>
        <xdr:cNvPr id="24" name="HdrFinancialAnalysis">
          <a:extLst>
            <a:ext uri="{FF2B5EF4-FFF2-40B4-BE49-F238E27FC236}">
              <a16:creationId xmlns:a16="http://schemas.microsoft.com/office/drawing/2014/main" id="{A3A1D246-AB95-3757-9B9E-94B307ACADA9}"/>
            </a:ext>
          </a:extLst>
        </xdr:cNvPr>
        <xdr:cNvSpPr/>
      </xdr:nvSpPr>
      <xdr:spPr>
        <a:xfrm>
          <a:off x="340783" y="10371668"/>
          <a:ext cx="6453293" cy="307340"/>
        </a:xfrm>
        <a:prstGeom prst="roundRect">
          <a:avLst/>
        </a:prstGeom>
        <a:solidFill>
          <a:srgbClr val="FF6600"/>
        </a:solidFill>
        <a:ln>
          <a:solidFill>
            <a:srgbClr val="FFFFFF"/>
          </a:solidFill>
        </a:ln>
        <a:effectLst>
          <a:outerShdw blurRad="50800" dist="50800" dir="5400000" algn="ctr" rotWithShape="0">
            <a:schemeClr val="tx1">
              <a:alpha val="63000"/>
            </a:scheme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Financial Inputs</a:t>
          </a:r>
        </a:p>
      </xdr:txBody>
    </xdr:sp>
    <xdr:clientData/>
  </xdr:twoCellAnchor>
  <xdr:twoCellAnchor>
    <xdr:from>
      <xdr:col>8</xdr:col>
      <xdr:colOff>388620</xdr:colOff>
      <xdr:row>3</xdr:row>
      <xdr:rowOff>0</xdr:rowOff>
    </xdr:from>
    <xdr:to>
      <xdr:col>10</xdr:col>
      <xdr:colOff>93345</xdr:colOff>
      <xdr:row>3</xdr:row>
      <xdr:rowOff>274320</xdr:rowOff>
    </xdr:to>
    <xdr:grpSp>
      <xdr:nvGrpSpPr>
        <xdr:cNvPr id="29" name="GroupStepLangUnits">
          <a:extLst>
            <a:ext uri="{FF2B5EF4-FFF2-40B4-BE49-F238E27FC236}">
              <a16:creationId xmlns:a16="http://schemas.microsoft.com/office/drawing/2014/main" id="{64DDE2F5-2DDE-145C-1D36-30DA39CF91B2}"/>
            </a:ext>
          </a:extLst>
        </xdr:cNvPr>
        <xdr:cNvGrpSpPr>
          <a:grpSpLocks/>
        </xdr:cNvGrpSpPr>
      </xdr:nvGrpSpPr>
      <xdr:grpSpPr>
        <a:xfrm>
          <a:off x="7873153" y="948267"/>
          <a:ext cx="1398059" cy="274320"/>
          <a:chOff x="7669530" y="1564005"/>
          <a:chExt cx="1358265" cy="276225"/>
        </a:xfrm>
      </xdr:grpSpPr>
      <xdr:sp macro="" textlink="">
        <xdr:nvSpPr>
          <xdr:cNvPr id="30" name="RoundedRectStepLangUnits">
            <a:extLst>
              <a:ext uri="{FF2B5EF4-FFF2-40B4-BE49-F238E27FC236}">
                <a16:creationId xmlns:a16="http://schemas.microsoft.com/office/drawing/2014/main" id="{31CBB004-296E-D465-144A-4C014147385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1</a:t>
            </a:r>
          </a:p>
        </xdr:txBody>
      </xdr:sp>
      <xdr:sp macro="" textlink="">
        <xdr:nvSpPr>
          <xdr:cNvPr id="31" name="Oval 30">
            <a:extLst>
              <a:ext uri="{FF2B5EF4-FFF2-40B4-BE49-F238E27FC236}">
                <a16:creationId xmlns:a16="http://schemas.microsoft.com/office/drawing/2014/main" id="{D80462CB-09F2-D463-9772-167C1E54E6F4}"/>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432436</xdr:colOff>
      <xdr:row>3</xdr:row>
      <xdr:rowOff>381844</xdr:rowOff>
    </xdr:from>
    <xdr:to>
      <xdr:col>10</xdr:col>
      <xdr:colOff>83821</xdr:colOff>
      <xdr:row>7</xdr:row>
      <xdr:rowOff>81278</xdr:rowOff>
    </xdr:to>
    <xdr:sp macro="" textlink="">
      <xdr:nvSpPr>
        <xdr:cNvPr id="32" name="TextBoxStepLangUnits">
          <a:extLst>
            <a:ext uri="{FF2B5EF4-FFF2-40B4-BE49-F238E27FC236}">
              <a16:creationId xmlns:a16="http://schemas.microsoft.com/office/drawing/2014/main" id="{1A7DCE15-F19F-A9BC-B165-EA5E97FEC9F2}"/>
            </a:ext>
          </a:extLst>
        </xdr:cNvPr>
        <xdr:cNvSpPr txBox="1"/>
      </xdr:nvSpPr>
      <xdr:spPr>
        <a:xfrm>
          <a:off x="7916969" y="1330111"/>
          <a:ext cx="1344719" cy="69850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t>Select your Language and Units.
</a:t>
          </a:r>
        </a:p>
      </xdr:txBody>
    </xdr:sp>
    <xdr:clientData/>
  </xdr:twoCellAnchor>
  <xdr:twoCellAnchor editAs="oneCell">
    <xdr:from>
      <xdr:col>8</xdr:col>
      <xdr:colOff>22860</xdr:colOff>
      <xdr:row>62</xdr:row>
      <xdr:rowOff>25400</xdr:rowOff>
    </xdr:from>
    <xdr:to>
      <xdr:col>8</xdr:col>
      <xdr:colOff>171450</xdr:colOff>
      <xdr:row>62</xdr:row>
      <xdr:rowOff>143510</xdr:rowOff>
    </xdr:to>
    <xdr:sp macro="[0]!InfoClick" textlink="">
      <xdr:nvSpPr>
        <xdr:cNvPr id="33" name="OvalInfoDiscountRate">
          <a:extLst>
            <a:ext uri="{FF2B5EF4-FFF2-40B4-BE49-F238E27FC236}">
              <a16:creationId xmlns:a16="http://schemas.microsoft.com/office/drawing/2014/main" id="{3F93C0D7-6FB3-45CA-BACA-88AD900BB112}"/>
            </a:ext>
          </a:extLst>
        </xdr:cNvPr>
        <xdr:cNvSpPr>
          <a:spLocks noChangeAspect="1"/>
        </xdr:cNvSpPr>
      </xdr:nvSpPr>
      <xdr:spPr>
        <a:xfrm>
          <a:off x="7505700" y="1197356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65</xdr:row>
      <xdr:rowOff>25400</xdr:rowOff>
    </xdr:from>
    <xdr:to>
      <xdr:col>8</xdr:col>
      <xdr:colOff>171450</xdr:colOff>
      <xdr:row>65</xdr:row>
      <xdr:rowOff>143510</xdr:rowOff>
    </xdr:to>
    <xdr:sp macro="[0]!InfoClick" textlink="">
      <xdr:nvSpPr>
        <xdr:cNvPr id="34" name="OvalInfoNPV">
          <a:extLst>
            <a:ext uri="{FF2B5EF4-FFF2-40B4-BE49-F238E27FC236}">
              <a16:creationId xmlns:a16="http://schemas.microsoft.com/office/drawing/2014/main" id="{287084EE-019A-45DE-A408-0A6363C7B6B6}"/>
            </a:ext>
          </a:extLst>
        </xdr:cNvPr>
        <xdr:cNvSpPr>
          <a:spLocks noChangeAspect="1"/>
        </xdr:cNvSpPr>
      </xdr:nvSpPr>
      <xdr:spPr>
        <a:xfrm>
          <a:off x="7505700" y="1249934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66</xdr:row>
      <xdr:rowOff>25400</xdr:rowOff>
    </xdr:from>
    <xdr:to>
      <xdr:col>8</xdr:col>
      <xdr:colOff>171450</xdr:colOff>
      <xdr:row>66</xdr:row>
      <xdr:rowOff>143510</xdr:rowOff>
    </xdr:to>
    <xdr:sp macro="[0]!InfoClick" textlink="">
      <xdr:nvSpPr>
        <xdr:cNvPr id="42" name="OvalInfoSIR">
          <a:extLst>
            <a:ext uri="{FF2B5EF4-FFF2-40B4-BE49-F238E27FC236}">
              <a16:creationId xmlns:a16="http://schemas.microsoft.com/office/drawing/2014/main" id="{BBEB2D47-A6CB-4DB6-A4FB-F9EAA1EE0E2F}"/>
            </a:ext>
          </a:extLst>
        </xdr:cNvPr>
        <xdr:cNvSpPr>
          <a:spLocks noChangeAspect="1"/>
        </xdr:cNvSpPr>
      </xdr:nvSpPr>
      <xdr:spPr>
        <a:xfrm>
          <a:off x="7505700" y="1267460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1</xdr:colOff>
      <xdr:row>84</xdr:row>
      <xdr:rowOff>143934</xdr:rowOff>
    </xdr:from>
    <xdr:to>
      <xdr:col>3</xdr:col>
      <xdr:colOff>114149</xdr:colOff>
      <xdr:row>88</xdr:row>
      <xdr:rowOff>72814</xdr:rowOff>
    </xdr:to>
    <xdr:pic>
      <xdr:nvPicPr>
        <xdr:cNvPr id="45" name="Picture 44">
          <a:hlinkClick xmlns:r="http://schemas.openxmlformats.org/officeDocument/2006/relationships" r:id="rId5"/>
          <a:extLst>
            <a:ext uri="{FF2B5EF4-FFF2-40B4-BE49-F238E27FC236}">
              <a16:creationId xmlns:a16="http://schemas.microsoft.com/office/drawing/2014/main" id="{72BB1EC5-B51B-6F89-B19B-D318D7677206}"/>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57201" y="16366067"/>
          <a:ext cx="1663548" cy="640080"/>
        </a:xfrm>
        <a:prstGeom prst="rect">
          <a:avLst/>
        </a:prstGeom>
      </xdr:spPr>
    </xdr:pic>
    <xdr:clientData/>
  </xdr:twoCellAnchor>
  <xdr:twoCellAnchor editAs="oneCell">
    <xdr:from>
      <xdr:col>4</xdr:col>
      <xdr:colOff>1226820</xdr:colOff>
      <xdr:row>9</xdr:row>
      <xdr:rowOff>28575</xdr:rowOff>
    </xdr:from>
    <xdr:to>
      <xdr:col>4</xdr:col>
      <xdr:colOff>1375410</xdr:colOff>
      <xdr:row>9</xdr:row>
      <xdr:rowOff>146685</xdr:rowOff>
    </xdr:to>
    <xdr:sp macro="[0]!InfoClick" textlink="">
      <xdr:nvSpPr>
        <xdr:cNvPr id="21" name="OvalInfo_H_ELEC">
          <a:extLst>
            <a:ext uri="{FF2B5EF4-FFF2-40B4-BE49-F238E27FC236}">
              <a16:creationId xmlns:a16="http://schemas.microsoft.com/office/drawing/2014/main" id="{797B7251-9F55-3602-EF84-64DA88620C7C}"/>
            </a:ext>
          </a:extLst>
        </xdr:cNvPr>
        <xdr:cNvSpPr>
          <a:spLocks noChangeAspect="1"/>
        </xdr:cNvSpPr>
      </xdr:nvSpPr>
      <xdr:spPr>
        <a:xfrm>
          <a:off x="3855720" y="261175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10</xdr:row>
      <xdr:rowOff>28575</xdr:rowOff>
    </xdr:from>
    <xdr:to>
      <xdr:col>4</xdr:col>
      <xdr:colOff>1375410</xdr:colOff>
      <xdr:row>10</xdr:row>
      <xdr:rowOff>146685</xdr:rowOff>
    </xdr:to>
    <xdr:sp macro="[0]!InfoClick" textlink="">
      <xdr:nvSpPr>
        <xdr:cNvPr id="25" name="OvalInfo_H_LOAD">
          <a:extLst>
            <a:ext uri="{FF2B5EF4-FFF2-40B4-BE49-F238E27FC236}">
              <a16:creationId xmlns:a16="http://schemas.microsoft.com/office/drawing/2014/main" id="{37507B96-5389-1C48-5F1F-4D3C35EF0A0E}"/>
            </a:ext>
          </a:extLst>
        </xdr:cNvPr>
        <xdr:cNvSpPr>
          <a:spLocks noChangeAspect="1"/>
        </xdr:cNvSpPr>
      </xdr:nvSpPr>
      <xdr:spPr>
        <a:xfrm>
          <a:off x="3855720" y="278701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12</xdr:row>
      <xdr:rowOff>28575</xdr:rowOff>
    </xdr:from>
    <xdr:to>
      <xdr:col>4</xdr:col>
      <xdr:colOff>1375410</xdr:colOff>
      <xdr:row>12</xdr:row>
      <xdr:rowOff>146685</xdr:rowOff>
    </xdr:to>
    <xdr:sp macro="[0]!InfoClick" textlink="">
      <xdr:nvSpPr>
        <xdr:cNvPr id="44" name="OvalInfo_H_HRS">
          <a:extLst>
            <a:ext uri="{FF2B5EF4-FFF2-40B4-BE49-F238E27FC236}">
              <a16:creationId xmlns:a16="http://schemas.microsoft.com/office/drawing/2014/main" id="{7A770568-A1C7-B3F8-02AA-DA7756C15099}"/>
            </a:ext>
          </a:extLst>
        </xdr:cNvPr>
        <xdr:cNvSpPr>
          <a:spLocks noChangeAspect="1"/>
        </xdr:cNvSpPr>
      </xdr:nvSpPr>
      <xdr:spPr>
        <a:xfrm>
          <a:off x="3855720" y="313753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13</xdr:row>
      <xdr:rowOff>28575</xdr:rowOff>
    </xdr:from>
    <xdr:to>
      <xdr:col>4</xdr:col>
      <xdr:colOff>1375410</xdr:colOff>
      <xdr:row>13</xdr:row>
      <xdr:rowOff>146685</xdr:rowOff>
    </xdr:to>
    <xdr:sp macro="[0]!InfoClick" textlink="">
      <xdr:nvSpPr>
        <xdr:cNvPr id="46" name="OvalInfo_H_DAYS">
          <a:extLst>
            <a:ext uri="{FF2B5EF4-FFF2-40B4-BE49-F238E27FC236}">
              <a16:creationId xmlns:a16="http://schemas.microsoft.com/office/drawing/2014/main" id="{F51FB004-3563-86D7-3D39-CAA0921D30CF}"/>
            </a:ext>
          </a:extLst>
        </xdr:cNvPr>
        <xdr:cNvSpPr>
          <a:spLocks noChangeAspect="1"/>
        </xdr:cNvSpPr>
      </xdr:nvSpPr>
      <xdr:spPr>
        <a:xfrm>
          <a:off x="3855720" y="331279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14</xdr:row>
      <xdr:rowOff>28575</xdr:rowOff>
    </xdr:from>
    <xdr:to>
      <xdr:col>4</xdr:col>
      <xdr:colOff>1375410</xdr:colOff>
      <xdr:row>14</xdr:row>
      <xdr:rowOff>146685</xdr:rowOff>
    </xdr:to>
    <xdr:sp macro="[0]!InfoClick" textlink="">
      <xdr:nvSpPr>
        <xdr:cNvPr id="47" name="OvalInfo_H_WEEKS">
          <a:extLst>
            <a:ext uri="{FF2B5EF4-FFF2-40B4-BE49-F238E27FC236}">
              <a16:creationId xmlns:a16="http://schemas.microsoft.com/office/drawing/2014/main" id="{BCE943C9-3002-C303-826C-341FBD89C124}"/>
            </a:ext>
          </a:extLst>
        </xdr:cNvPr>
        <xdr:cNvSpPr>
          <a:spLocks noChangeAspect="1"/>
        </xdr:cNvSpPr>
      </xdr:nvSpPr>
      <xdr:spPr>
        <a:xfrm>
          <a:off x="3855720" y="348805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15</xdr:row>
      <xdr:rowOff>28575</xdr:rowOff>
    </xdr:from>
    <xdr:to>
      <xdr:col>4</xdr:col>
      <xdr:colOff>1375410</xdr:colOff>
      <xdr:row>15</xdr:row>
      <xdr:rowOff>146685</xdr:rowOff>
    </xdr:to>
    <xdr:sp macro="[0]!InfoClick" textlink="">
      <xdr:nvSpPr>
        <xdr:cNvPr id="48" name="OvalInfo_H_HEAD">
          <a:extLst>
            <a:ext uri="{FF2B5EF4-FFF2-40B4-BE49-F238E27FC236}">
              <a16:creationId xmlns:a16="http://schemas.microsoft.com/office/drawing/2014/main" id="{CCD9F37B-5E8C-7E48-3081-E9AC80170B18}"/>
            </a:ext>
          </a:extLst>
        </xdr:cNvPr>
        <xdr:cNvSpPr>
          <a:spLocks noChangeAspect="1"/>
        </xdr:cNvSpPr>
      </xdr:nvSpPr>
      <xdr:spPr>
        <a:xfrm>
          <a:off x="3855720" y="366331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17</xdr:row>
      <xdr:rowOff>28575</xdr:rowOff>
    </xdr:from>
    <xdr:to>
      <xdr:col>4</xdr:col>
      <xdr:colOff>1375410</xdr:colOff>
      <xdr:row>17</xdr:row>
      <xdr:rowOff>146685</xdr:rowOff>
    </xdr:to>
    <xdr:sp macro="[0]!InfoClick" textlink="">
      <xdr:nvSpPr>
        <xdr:cNvPr id="49" name="OvalInfo_H_DDT">
          <a:extLst>
            <a:ext uri="{FF2B5EF4-FFF2-40B4-BE49-F238E27FC236}">
              <a16:creationId xmlns:a16="http://schemas.microsoft.com/office/drawing/2014/main" id="{8EF085F3-876B-39D3-7114-4F360F99618C}"/>
            </a:ext>
          </a:extLst>
        </xdr:cNvPr>
        <xdr:cNvSpPr>
          <a:spLocks noChangeAspect="1"/>
        </xdr:cNvSpPr>
      </xdr:nvSpPr>
      <xdr:spPr>
        <a:xfrm>
          <a:off x="3855720" y="401383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18</xdr:row>
      <xdr:rowOff>28575</xdr:rowOff>
    </xdr:from>
    <xdr:to>
      <xdr:col>4</xdr:col>
      <xdr:colOff>1375410</xdr:colOff>
      <xdr:row>18</xdr:row>
      <xdr:rowOff>146685</xdr:rowOff>
    </xdr:to>
    <xdr:sp macro="[0]!InfoClick" textlink="">
      <xdr:nvSpPr>
        <xdr:cNvPr id="50" name="OvalInfo_H_ADT">
          <a:extLst>
            <a:ext uri="{FF2B5EF4-FFF2-40B4-BE49-F238E27FC236}">
              <a16:creationId xmlns:a16="http://schemas.microsoft.com/office/drawing/2014/main" id="{D0F51165-338D-0F0E-720B-EDFFDAFE5C94}"/>
            </a:ext>
          </a:extLst>
        </xdr:cNvPr>
        <xdr:cNvSpPr>
          <a:spLocks noChangeAspect="1"/>
        </xdr:cNvSpPr>
      </xdr:nvSpPr>
      <xdr:spPr>
        <a:xfrm>
          <a:off x="3855720" y="418909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19</xdr:row>
      <xdr:rowOff>28575</xdr:rowOff>
    </xdr:from>
    <xdr:to>
      <xdr:col>4</xdr:col>
      <xdr:colOff>1375410</xdr:colOff>
      <xdr:row>19</xdr:row>
      <xdr:rowOff>146685</xdr:rowOff>
    </xdr:to>
    <xdr:sp macro="[0]!InfoClick" textlink="">
      <xdr:nvSpPr>
        <xdr:cNvPr id="51" name="OvalInfo_H_FDT">
          <a:extLst>
            <a:ext uri="{FF2B5EF4-FFF2-40B4-BE49-F238E27FC236}">
              <a16:creationId xmlns:a16="http://schemas.microsoft.com/office/drawing/2014/main" id="{0D4F60D3-15F9-B109-7D96-53D52C2CB165}"/>
            </a:ext>
          </a:extLst>
        </xdr:cNvPr>
        <xdr:cNvSpPr>
          <a:spLocks noChangeAspect="1"/>
        </xdr:cNvSpPr>
      </xdr:nvSpPr>
      <xdr:spPr>
        <a:xfrm>
          <a:off x="3855720" y="436435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101600</xdr:colOff>
      <xdr:row>28</xdr:row>
      <xdr:rowOff>28575</xdr:rowOff>
    </xdr:from>
    <xdr:to>
      <xdr:col>5</xdr:col>
      <xdr:colOff>250190</xdr:colOff>
      <xdr:row>28</xdr:row>
      <xdr:rowOff>146685</xdr:rowOff>
    </xdr:to>
    <xdr:sp macro="[0]!InfoClick" textlink="">
      <xdr:nvSpPr>
        <xdr:cNvPr id="52" name="OvalInfo_H_ANNHRS">
          <a:extLst>
            <a:ext uri="{FF2B5EF4-FFF2-40B4-BE49-F238E27FC236}">
              <a16:creationId xmlns:a16="http://schemas.microsoft.com/office/drawing/2014/main" id="{F31B86B7-DCBA-5A5B-56FA-892031EC407C}"/>
            </a:ext>
          </a:extLst>
        </xdr:cNvPr>
        <xdr:cNvSpPr>
          <a:spLocks noChangeAspect="1"/>
        </xdr:cNvSpPr>
      </xdr:nvSpPr>
      <xdr:spPr>
        <a:xfrm>
          <a:off x="4315460" y="594169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381000</xdr:colOff>
      <xdr:row>29</xdr:row>
      <xdr:rowOff>36195</xdr:rowOff>
    </xdr:from>
    <xdr:to>
      <xdr:col>5</xdr:col>
      <xdr:colOff>529590</xdr:colOff>
      <xdr:row>29</xdr:row>
      <xdr:rowOff>154305</xdr:rowOff>
    </xdr:to>
    <xdr:sp macro="[0]!InfoClick" textlink="">
      <xdr:nvSpPr>
        <xdr:cNvPr id="53" name="OvalInfo_H_REGION">
          <a:extLst>
            <a:ext uri="{FF2B5EF4-FFF2-40B4-BE49-F238E27FC236}">
              <a16:creationId xmlns:a16="http://schemas.microsoft.com/office/drawing/2014/main" id="{935FEBDA-E5A4-D9DB-1530-2722538897A8}"/>
            </a:ext>
          </a:extLst>
        </xdr:cNvPr>
        <xdr:cNvSpPr>
          <a:spLocks noChangeAspect="1"/>
        </xdr:cNvSpPr>
      </xdr:nvSpPr>
      <xdr:spPr>
        <a:xfrm>
          <a:off x="4594860" y="612457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6</xdr:col>
      <xdr:colOff>50800</xdr:colOff>
      <xdr:row>31</xdr:row>
      <xdr:rowOff>131445</xdr:rowOff>
    </xdr:from>
    <xdr:to>
      <xdr:col>6</xdr:col>
      <xdr:colOff>199390</xdr:colOff>
      <xdr:row>31</xdr:row>
      <xdr:rowOff>249555</xdr:rowOff>
    </xdr:to>
    <xdr:sp macro="[0]!InfoClick" textlink="">
      <xdr:nvSpPr>
        <xdr:cNvPr id="54" name="OvalInfo_H_BINS">
          <a:extLst>
            <a:ext uri="{FF2B5EF4-FFF2-40B4-BE49-F238E27FC236}">
              <a16:creationId xmlns:a16="http://schemas.microsoft.com/office/drawing/2014/main" id="{B47CD3F8-84DA-043C-8A32-8806D7BF3D08}"/>
            </a:ext>
          </a:extLst>
        </xdr:cNvPr>
        <xdr:cNvSpPr>
          <a:spLocks noChangeAspect="1"/>
        </xdr:cNvSpPr>
      </xdr:nvSpPr>
      <xdr:spPr>
        <a:xfrm>
          <a:off x="5765800" y="658558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1372870</xdr:colOff>
      <xdr:row>41</xdr:row>
      <xdr:rowOff>6350</xdr:rowOff>
    </xdr:from>
    <xdr:to>
      <xdr:col>4</xdr:col>
      <xdr:colOff>1521460</xdr:colOff>
      <xdr:row>41</xdr:row>
      <xdr:rowOff>124460</xdr:rowOff>
    </xdr:to>
    <xdr:sp macro="[0]!InfoClick" textlink="">
      <xdr:nvSpPr>
        <xdr:cNvPr id="55" name="OvalInfo_H_CDD">
          <a:extLst>
            <a:ext uri="{FF2B5EF4-FFF2-40B4-BE49-F238E27FC236}">
              <a16:creationId xmlns:a16="http://schemas.microsoft.com/office/drawing/2014/main" id="{007E0BCA-6314-F7C1-B2E0-AD8E0E45D610}"/>
            </a:ext>
          </a:extLst>
        </xdr:cNvPr>
        <xdr:cNvSpPr>
          <a:spLocks noChangeAspect="1"/>
        </xdr:cNvSpPr>
      </xdr:nvSpPr>
      <xdr:spPr>
        <a:xfrm>
          <a:off x="4001770" y="845693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1327150</xdr:colOff>
      <xdr:row>41</xdr:row>
      <xdr:rowOff>6350</xdr:rowOff>
    </xdr:from>
    <xdr:to>
      <xdr:col>5</xdr:col>
      <xdr:colOff>1475740</xdr:colOff>
      <xdr:row>41</xdr:row>
      <xdr:rowOff>124460</xdr:rowOff>
    </xdr:to>
    <xdr:sp macro="[0]!InfoClick" textlink="">
      <xdr:nvSpPr>
        <xdr:cNvPr id="56" name="OvalInfo_H_HUM">
          <a:extLst>
            <a:ext uri="{FF2B5EF4-FFF2-40B4-BE49-F238E27FC236}">
              <a16:creationId xmlns:a16="http://schemas.microsoft.com/office/drawing/2014/main" id="{CE77B351-F4A1-E123-1DD0-310DB8A06DDD}"/>
            </a:ext>
          </a:extLst>
        </xdr:cNvPr>
        <xdr:cNvSpPr>
          <a:spLocks noChangeAspect="1"/>
        </xdr:cNvSpPr>
      </xdr:nvSpPr>
      <xdr:spPr>
        <a:xfrm>
          <a:off x="5541010" y="845693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50800</xdr:colOff>
      <xdr:row>41</xdr:row>
      <xdr:rowOff>6350</xdr:rowOff>
    </xdr:from>
    <xdr:to>
      <xdr:col>7</xdr:col>
      <xdr:colOff>199390</xdr:colOff>
      <xdr:row>41</xdr:row>
      <xdr:rowOff>124460</xdr:rowOff>
    </xdr:to>
    <xdr:sp macro="[0]!InfoClick" textlink="">
      <xdr:nvSpPr>
        <xdr:cNvPr id="57" name="OvalInfo_H_MULT">
          <a:extLst>
            <a:ext uri="{FF2B5EF4-FFF2-40B4-BE49-F238E27FC236}">
              <a16:creationId xmlns:a16="http://schemas.microsoft.com/office/drawing/2014/main" id="{8825B521-DB44-9340-8FD0-1AC3AA740B3B}"/>
            </a:ext>
          </a:extLst>
        </xdr:cNvPr>
        <xdr:cNvSpPr>
          <a:spLocks noChangeAspect="1"/>
        </xdr:cNvSpPr>
      </xdr:nvSpPr>
      <xdr:spPr>
        <a:xfrm>
          <a:off x="6619240" y="845693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3</xdr:col>
      <xdr:colOff>438150</xdr:colOff>
      <xdr:row>52</xdr:row>
      <xdr:rowOff>32385</xdr:rowOff>
    </xdr:from>
    <xdr:to>
      <xdr:col>3</xdr:col>
      <xdr:colOff>586740</xdr:colOff>
      <xdr:row>52</xdr:row>
      <xdr:rowOff>150495</xdr:rowOff>
    </xdr:to>
    <xdr:sp macro="[0]!InfoClick" textlink="">
      <xdr:nvSpPr>
        <xdr:cNvPr id="58" name="OvalInfo_H_CUSTOM">
          <a:extLst>
            <a:ext uri="{FF2B5EF4-FFF2-40B4-BE49-F238E27FC236}">
              <a16:creationId xmlns:a16="http://schemas.microsoft.com/office/drawing/2014/main" id="{380DA5F7-10C0-C581-564A-055A15606F17}"/>
            </a:ext>
          </a:extLst>
        </xdr:cNvPr>
        <xdr:cNvSpPr>
          <a:spLocks noChangeAspect="1"/>
        </xdr:cNvSpPr>
      </xdr:nvSpPr>
      <xdr:spPr>
        <a:xfrm>
          <a:off x="2442210" y="1041082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50800</xdr:colOff>
      <xdr:row>55</xdr:row>
      <xdr:rowOff>28575</xdr:rowOff>
    </xdr:from>
    <xdr:to>
      <xdr:col>7</xdr:col>
      <xdr:colOff>199390</xdr:colOff>
      <xdr:row>55</xdr:row>
      <xdr:rowOff>146685</xdr:rowOff>
    </xdr:to>
    <xdr:sp macro="[0]!InfoClick" textlink="">
      <xdr:nvSpPr>
        <xdr:cNvPr id="59" name="OvalInfo_H_SEL">
          <a:extLst>
            <a:ext uri="{FF2B5EF4-FFF2-40B4-BE49-F238E27FC236}">
              <a16:creationId xmlns:a16="http://schemas.microsoft.com/office/drawing/2014/main" id="{896A0EEA-F812-B445-A1C4-F0674D260A0F}"/>
            </a:ext>
          </a:extLst>
        </xdr:cNvPr>
        <xdr:cNvSpPr>
          <a:spLocks noChangeAspect="1"/>
        </xdr:cNvSpPr>
      </xdr:nvSpPr>
      <xdr:spPr>
        <a:xfrm>
          <a:off x="6619240" y="1095565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61</xdr:row>
      <xdr:rowOff>28575</xdr:rowOff>
    </xdr:from>
    <xdr:to>
      <xdr:col>8</xdr:col>
      <xdr:colOff>171450</xdr:colOff>
      <xdr:row>61</xdr:row>
      <xdr:rowOff>146685</xdr:rowOff>
    </xdr:to>
    <xdr:sp macro="[0]!InfoClick" textlink="">
      <xdr:nvSpPr>
        <xdr:cNvPr id="60" name="OvalInfo_H_INV">
          <a:extLst>
            <a:ext uri="{FF2B5EF4-FFF2-40B4-BE49-F238E27FC236}">
              <a16:creationId xmlns:a16="http://schemas.microsoft.com/office/drawing/2014/main" id="{202A268F-615C-DB42-E4D7-64969389BFF9}"/>
            </a:ext>
          </a:extLst>
        </xdr:cNvPr>
        <xdr:cNvSpPr>
          <a:spLocks noChangeAspect="1"/>
        </xdr:cNvSpPr>
      </xdr:nvSpPr>
      <xdr:spPr>
        <a:xfrm>
          <a:off x="7505700" y="1200721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63</xdr:row>
      <xdr:rowOff>28575</xdr:rowOff>
    </xdr:from>
    <xdr:to>
      <xdr:col>8</xdr:col>
      <xdr:colOff>171450</xdr:colOff>
      <xdr:row>63</xdr:row>
      <xdr:rowOff>146685</xdr:rowOff>
    </xdr:to>
    <xdr:sp macro="[0]!InfoClick" textlink="">
      <xdr:nvSpPr>
        <xdr:cNvPr id="61" name="OvalInfo_H_LIFE">
          <a:extLst>
            <a:ext uri="{FF2B5EF4-FFF2-40B4-BE49-F238E27FC236}">
              <a16:creationId xmlns:a16="http://schemas.microsoft.com/office/drawing/2014/main" id="{AD0C1114-DC0C-A661-F622-48B9651C410F}"/>
            </a:ext>
          </a:extLst>
        </xdr:cNvPr>
        <xdr:cNvSpPr>
          <a:spLocks noChangeAspect="1"/>
        </xdr:cNvSpPr>
      </xdr:nvSpPr>
      <xdr:spPr>
        <a:xfrm>
          <a:off x="7505700" y="1235773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67</xdr:row>
      <xdr:rowOff>28575</xdr:rowOff>
    </xdr:from>
    <xdr:to>
      <xdr:col>8</xdr:col>
      <xdr:colOff>171450</xdr:colOff>
      <xdr:row>67</xdr:row>
      <xdr:rowOff>146685</xdr:rowOff>
    </xdr:to>
    <xdr:sp macro="[0]!InfoClick" textlink="">
      <xdr:nvSpPr>
        <xdr:cNvPr id="62" name="OvalInfo_H_PAYBACK">
          <a:extLst>
            <a:ext uri="{FF2B5EF4-FFF2-40B4-BE49-F238E27FC236}">
              <a16:creationId xmlns:a16="http://schemas.microsoft.com/office/drawing/2014/main" id="{924F68CD-FE66-42B6-86D1-E7969422E358}"/>
            </a:ext>
          </a:extLst>
        </xdr:cNvPr>
        <xdr:cNvSpPr>
          <a:spLocks noChangeAspect="1"/>
        </xdr:cNvSpPr>
      </xdr:nvSpPr>
      <xdr:spPr>
        <a:xfrm>
          <a:off x="7505700" y="1305877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4</xdr:col>
      <xdr:colOff>586740</xdr:colOff>
      <xdr:row>5</xdr:row>
      <xdr:rowOff>34290</xdr:rowOff>
    </xdr:from>
    <xdr:to>
      <xdr:col>4</xdr:col>
      <xdr:colOff>720090</xdr:colOff>
      <xdr:row>5</xdr:row>
      <xdr:rowOff>156210</xdr:rowOff>
    </xdr:to>
    <xdr:sp macro="[0]!InfoClick" textlink="">
      <xdr:nvSpPr>
        <xdr:cNvPr id="2" name="Oval 1">
          <a:extLst>
            <a:ext uri="{FF2B5EF4-FFF2-40B4-BE49-F238E27FC236}">
              <a16:creationId xmlns:a16="http://schemas.microsoft.com/office/drawing/2014/main" id="{00000000-0008-0000-0100-000002000000}"/>
            </a:ext>
          </a:extLst>
        </xdr:cNvPr>
        <xdr:cNvSpPr>
          <a:spLocks noChangeAspect="1"/>
        </xdr:cNvSpPr>
      </xdr:nvSpPr>
      <xdr:spPr>
        <a:xfrm>
          <a:off x="2827020" y="1687830"/>
          <a:ext cx="116205" cy="12192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14</xdr:col>
      <xdr:colOff>228600</xdr:colOff>
      <xdr:row>10</xdr:row>
      <xdr:rowOff>515037</xdr:rowOff>
    </xdr:from>
    <xdr:to>
      <xdr:col>16</xdr:col>
      <xdr:colOff>1342392</xdr:colOff>
      <xdr:row>17</xdr:row>
      <xdr:rowOff>80863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53700" y="3172512"/>
          <a:ext cx="2466976" cy="1137451"/>
        </a:xfrm>
        <a:prstGeom prst="rect">
          <a:avLst/>
        </a:prstGeom>
      </xdr:spPr>
    </xdr:pic>
    <xdr:clientData/>
  </xdr:twoCellAnchor>
  <xdr:twoCellAnchor>
    <xdr:from>
      <xdr:col>0</xdr:col>
      <xdr:colOff>161924</xdr:colOff>
      <xdr:row>0</xdr:row>
      <xdr:rowOff>28575</xdr:rowOff>
    </xdr:from>
    <xdr:to>
      <xdr:col>17</xdr:col>
      <xdr:colOff>552451</xdr:colOff>
      <xdr:row>3</xdr:row>
      <xdr:rowOff>83132</xdr:rowOff>
    </xdr:to>
    <xdr:grpSp>
      <xdr:nvGrpSpPr>
        <xdr:cNvPr id="16" name="Group 15">
          <a:extLst>
            <a:ext uri="{FF2B5EF4-FFF2-40B4-BE49-F238E27FC236}">
              <a16:creationId xmlns:a16="http://schemas.microsoft.com/office/drawing/2014/main" id="{00000000-0008-0000-0100-000010000000}"/>
            </a:ext>
          </a:extLst>
        </xdr:cNvPr>
        <xdr:cNvGrpSpPr/>
      </xdr:nvGrpSpPr>
      <xdr:grpSpPr>
        <a:xfrm>
          <a:off x="161924" y="28575"/>
          <a:ext cx="14936260" cy="1053624"/>
          <a:chOff x="1" y="0"/>
          <a:chExt cx="9972999" cy="898266"/>
        </a:xfrm>
      </xdr:grpSpPr>
      <xdr:sp macro=""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1" y="0"/>
            <a:ext cx="9972999"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8183"/>
          <a:stretch/>
        </xdr:blipFill>
        <xdr:spPr>
          <a:xfrm>
            <a:off x="123825" y="179980"/>
            <a:ext cx="1247775" cy="442041"/>
          </a:xfrm>
          <a:prstGeom prst="rect">
            <a:avLst/>
          </a:prstGeom>
        </xdr:spPr>
      </xdr:pic>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10000" b="90000" l="10000" r="90000"/>
                    </a14:imgEffect>
                  </a14:imgLayer>
                </a14:imgProps>
              </a:ext>
            </a:extLst>
          </a:blip>
          <a:stretch>
            <a:fillRect/>
          </a:stretch>
        </xdr:blipFill>
        <xdr:spPr>
          <a:xfrm>
            <a:off x="4393985" y="24559"/>
            <a:ext cx="1143000" cy="873707"/>
          </a:xfrm>
          <a:prstGeom prst="rect">
            <a:avLst/>
          </a:prstGeom>
        </xdr:spPr>
      </xdr:pic>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1613966" y="79031"/>
            <a:ext cx="3924300"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0</xdr:col>
      <xdr:colOff>171449</xdr:colOff>
      <xdr:row>3</xdr:row>
      <xdr:rowOff>85725</xdr:rowOff>
    </xdr:from>
    <xdr:to>
      <xdr:col>9</xdr:col>
      <xdr:colOff>838199</xdr:colOff>
      <xdr:row>3</xdr:row>
      <xdr:rowOff>378018</xdr:rowOff>
    </xdr:to>
    <xdr:sp macro="" textlink="">
      <xdr:nvSpPr>
        <xdr:cNvPr id="6" name="HdrCoilDesignData">
          <a:extLst>
            <a:ext uri="{FF2B5EF4-FFF2-40B4-BE49-F238E27FC236}">
              <a16:creationId xmlns:a16="http://schemas.microsoft.com/office/drawing/2014/main" id="{00000000-0008-0000-0100-000006000000}"/>
            </a:ext>
          </a:extLst>
        </xdr:cNvPr>
        <xdr:cNvSpPr/>
      </xdr:nvSpPr>
      <xdr:spPr>
        <a:xfrm>
          <a:off x="171449" y="1076325"/>
          <a:ext cx="717232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Data</a:t>
          </a:r>
        </a:p>
      </xdr:txBody>
    </xdr:sp>
    <xdr:clientData/>
  </xdr:twoCellAnchor>
  <xdr:twoCellAnchor>
    <xdr:from>
      <xdr:col>0</xdr:col>
      <xdr:colOff>161924</xdr:colOff>
      <xdr:row>10</xdr:row>
      <xdr:rowOff>142875</xdr:rowOff>
    </xdr:from>
    <xdr:to>
      <xdr:col>17</xdr:col>
      <xdr:colOff>800099</xdr:colOff>
      <xdr:row>10</xdr:row>
      <xdr:rowOff>435168</xdr:rowOff>
    </xdr:to>
    <xdr:sp macro="" textlink="">
      <xdr:nvSpPr>
        <xdr:cNvPr id="7" name="HdrCoilDesignPerformance">
          <a:extLst>
            <a:ext uri="{FF2B5EF4-FFF2-40B4-BE49-F238E27FC236}">
              <a16:creationId xmlns:a16="http://schemas.microsoft.com/office/drawing/2014/main" id="{00000000-0008-0000-0100-000007000000}"/>
            </a:ext>
          </a:extLst>
        </xdr:cNvPr>
        <xdr:cNvSpPr/>
      </xdr:nvSpPr>
      <xdr:spPr>
        <a:xfrm>
          <a:off x="161924" y="2800350"/>
          <a:ext cx="1290637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Performance Data</a:t>
          </a:r>
        </a:p>
      </xdr:txBody>
    </xdr:sp>
    <xdr:clientData/>
  </xdr:twoCellAnchor>
  <xdr:twoCellAnchor editAs="oneCell">
    <xdr:from>
      <xdr:col>4</xdr:col>
      <xdr:colOff>571500</xdr:colOff>
      <xdr:row>4</xdr:row>
      <xdr:rowOff>30480</xdr:rowOff>
    </xdr:from>
    <xdr:to>
      <xdr:col>4</xdr:col>
      <xdr:colOff>720090</xdr:colOff>
      <xdr:row>4</xdr:row>
      <xdr:rowOff>156210</xdr:rowOff>
    </xdr:to>
    <xdr:sp macro="[0]!InfoClick" textlink="">
      <xdr:nvSpPr>
        <xdr:cNvPr id="4" name="Oval 3">
          <a:extLst>
            <a:ext uri="{FF2B5EF4-FFF2-40B4-BE49-F238E27FC236}">
              <a16:creationId xmlns:a16="http://schemas.microsoft.com/office/drawing/2014/main" id="{00000000-0008-0000-0100-000004000000}"/>
            </a:ext>
          </a:extLst>
        </xdr:cNvPr>
        <xdr:cNvSpPr>
          <a:spLocks noChangeAspect="1"/>
        </xdr:cNvSpPr>
      </xdr:nvSpPr>
      <xdr:spPr>
        <a:xfrm>
          <a:off x="2811780" y="1501140"/>
          <a:ext cx="140970" cy="13335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14</xdr:col>
      <xdr:colOff>181610</xdr:colOff>
      <xdr:row>4</xdr:row>
      <xdr:rowOff>147862</xdr:rowOff>
    </xdr:from>
    <xdr:to>
      <xdr:col>15</xdr:col>
      <xdr:colOff>85090</xdr:colOff>
      <xdr:row>7</xdr:row>
      <xdr:rowOff>3453</xdr:rowOff>
    </xdr:to>
    <xdr:pic macro="[0]!Sheet52.PDFActiveShee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586210" y="1618522"/>
          <a:ext cx="1165860" cy="397246"/>
        </a:xfrm>
        <a:prstGeom prst="rect">
          <a:avLst/>
        </a:prstGeom>
      </xdr:spPr>
    </xdr:pic>
    <xdr:clientData fLocksWithSheet="0" fPrintsWithSheet="0"/>
  </xdr:twoCellAnchor>
  <xdr:twoCellAnchor editAs="oneCell">
    <xdr:from>
      <xdr:col>16</xdr:col>
      <xdr:colOff>274320</xdr:colOff>
      <xdr:row>7</xdr:row>
      <xdr:rowOff>137160</xdr:rowOff>
    </xdr:from>
    <xdr:to>
      <xdr:col>16</xdr:col>
      <xdr:colOff>1401066</xdr:colOff>
      <xdr:row>9</xdr:row>
      <xdr:rowOff>79263</xdr:rowOff>
    </xdr:to>
    <xdr:pic>
      <xdr:nvPicPr>
        <xdr:cNvPr id="15" name="Picture 14">
          <a:hlinkClick xmlns:r="http://schemas.openxmlformats.org/officeDocument/2006/relationships" r:id="rId6"/>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628120" y="2156460"/>
          <a:ext cx="1108966" cy="330723"/>
        </a:xfrm>
        <a:prstGeom prst="rect">
          <a:avLst/>
        </a:prstGeom>
      </xdr:spPr>
    </xdr:pic>
    <xdr:clientData fPrintsWithSheet="0"/>
  </xdr:twoCellAnchor>
  <xdr:twoCellAnchor editAs="oneCell">
    <xdr:from>
      <xdr:col>4</xdr:col>
      <xdr:colOff>571500</xdr:colOff>
      <xdr:row>6</xdr:row>
      <xdr:rowOff>17145</xdr:rowOff>
    </xdr:from>
    <xdr:to>
      <xdr:col>4</xdr:col>
      <xdr:colOff>720090</xdr:colOff>
      <xdr:row>6</xdr:row>
      <xdr:rowOff>142875</xdr:rowOff>
    </xdr:to>
    <xdr:sp macro="[0]!InfoClick" textlink="">
      <xdr:nvSpPr>
        <xdr:cNvPr id="5" name="OvalInfo_P_VMAX">
          <a:extLst>
            <a:ext uri="{FF2B5EF4-FFF2-40B4-BE49-F238E27FC236}">
              <a16:creationId xmlns:a16="http://schemas.microsoft.com/office/drawing/2014/main" id="{AF27851A-C3B1-1AF1-AD42-B96E211D7E60}"/>
            </a:ext>
          </a:extLst>
        </xdr:cNvPr>
        <xdr:cNvSpPr>
          <a:spLocks noChangeAspect="1"/>
        </xdr:cNvSpPr>
      </xdr:nvSpPr>
      <xdr:spPr>
        <a:xfrm>
          <a:off x="2874433" y="1845945"/>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571500</xdr:colOff>
      <xdr:row>7</xdr:row>
      <xdr:rowOff>14605</xdr:rowOff>
    </xdr:from>
    <xdr:to>
      <xdr:col>4</xdr:col>
      <xdr:colOff>720090</xdr:colOff>
      <xdr:row>7</xdr:row>
      <xdr:rowOff>140335</xdr:rowOff>
    </xdr:to>
    <xdr:sp macro="[0]!InfoClick" textlink="">
      <xdr:nvSpPr>
        <xdr:cNvPr id="8" name="OvalInfo_P_DT">
          <a:extLst>
            <a:ext uri="{FF2B5EF4-FFF2-40B4-BE49-F238E27FC236}">
              <a16:creationId xmlns:a16="http://schemas.microsoft.com/office/drawing/2014/main" id="{42DF7AF3-B796-AAF5-6E3B-6C1AA314A619}"/>
            </a:ext>
          </a:extLst>
        </xdr:cNvPr>
        <xdr:cNvSpPr>
          <a:spLocks noChangeAspect="1"/>
        </xdr:cNvSpPr>
      </xdr:nvSpPr>
      <xdr:spPr>
        <a:xfrm>
          <a:off x="2874433" y="2021205"/>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571500</xdr:colOff>
      <xdr:row>8</xdr:row>
      <xdr:rowOff>19685</xdr:rowOff>
    </xdr:from>
    <xdr:to>
      <xdr:col>4</xdr:col>
      <xdr:colOff>720090</xdr:colOff>
      <xdr:row>8</xdr:row>
      <xdr:rowOff>145415</xdr:rowOff>
    </xdr:to>
    <xdr:sp macro="[0]!InfoClick" textlink="">
      <xdr:nvSpPr>
        <xdr:cNvPr id="9" name="OvalInfo_P_TONS">
          <a:extLst>
            <a:ext uri="{FF2B5EF4-FFF2-40B4-BE49-F238E27FC236}">
              <a16:creationId xmlns:a16="http://schemas.microsoft.com/office/drawing/2014/main" id="{F7019E1F-DCDF-C4E4-0E87-62D4B9C2CB0B}"/>
            </a:ext>
          </a:extLst>
        </xdr:cNvPr>
        <xdr:cNvSpPr>
          <a:spLocks noChangeAspect="1"/>
        </xdr:cNvSpPr>
      </xdr:nvSpPr>
      <xdr:spPr>
        <a:xfrm>
          <a:off x="2874433" y="2204085"/>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571500</xdr:colOff>
      <xdr:row>9</xdr:row>
      <xdr:rowOff>23072</xdr:rowOff>
    </xdr:from>
    <xdr:to>
      <xdr:col>4</xdr:col>
      <xdr:colOff>720090</xdr:colOff>
      <xdr:row>9</xdr:row>
      <xdr:rowOff>148802</xdr:rowOff>
    </xdr:to>
    <xdr:sp macro="[0]!InfoClick" textlink="">
      <xdr:nvSpPr>
        <xdr:cNvPr id="10" name="OvalInfo_P_BTU">
          <a:extLst>
            <a:ext uri="{FF2B5EF4-FFF2-40B4-BE49-F238E27FC236}">
              <a16:creationId xmlns:a16="http://schemas.microsoft.com/office/drawing/2014/main" id="{E23501E9-4E8D-F6A0-872C-AF165C846C16}"/>
            </a:ext>
          </a:extLst>
        </xdr:cNvPr>
        <xdr:cNvSpPr>
          <a:spLocks noChangeAspect="1"/>
        </xdr:cNvSpPr>
      </xdr:nvSpPr>
      <xdr:spPr>
        <a:xfrm>
          <a:off x="2874433" y="2402205"/>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682837</xdr:colOff>
      <xdr:row>9</xdr:row>
      <xdr:rowOff>23072</xdr:rowOff>
    </xdr:from>
    <xdr:to>
      <xdr:col>7</xdr:col>
      <xdr:colOff>831427</xdr:colOff>
      <xdr:row>9</xdr:row>
      <xdr:rowOff>148802</xdr:rowOff>
    </xdr:to>
    <xdr:sp macro="[0]!InfoClick" textlink="">
      <xdr:nvSpPr>
        <xdr:cNvPr id="11" name="OvalInfo_P_EV">
          <a:extLst>
            <a:ext uri="{FF2B5EF4-FFF2-40B4-BE49-F238E27FC236}">
              <a16:creationId xmlns:a16="http://schemas.microsoft.com/office/drawing/2014/main" id="{00E2ADC0-D972-9375-B30E-E20253D3482C}"/>
            </a:ext>
          </a:extLst>
        </xdr:cNvPr>
        <xdr:cNvSpPr>
          <a:spLocks noChangeAspect="1"/>
        </xdr:cNvSpPr>
      </xdr:nvSpPr>
      <xdr:spPr>
        <a:xfrm>
          <a:off x="5551170" y="2402205"/>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99060</xdr:colOff>
      <xdr:row>10</xdr:row>
      <xdr:rowOff>226157</xdr:rowOff>
    </xdr:from>
    <xdr:to>
      <xdr:col>1</xdr:col>
      <xdr:colOff>247650</xdr:colOff>
      <xdr:row>10</xdr:row>
      <xdr:rowOff>351887</xdr:rowOff>
    </xdr:to>
    <xdr:sp macro="[0]!InfoClick" textlink="">
      <xdr:nvSpPr>
        <xdr:cNvPr id="12" name="OvalInfo_P_PERF">
          <a:extLst>
            <a:ext uri="{FF2B5EF4-FFF2-40B4-BE49-F238E27FC236}">
              <a16:creationId xmlns:a16="http://schemas.microsoft.com/office/drawing/2014/main" id="{12624CC3-A30F-1EAD-47D0-56F5522ACAE8}"/>
            </a:ext>
          </a:extLst>
        </xdr:cNvPr>
        <xdr:cNvSpPr>
          <a:spLocks noChangeAspect="1"/>
        </xdr:cNvSpPr>
      </xdr:nvSpPr>
      <xdr:spPr>
        <a:xfrm>
          <a:off x="276860" y="2808490"/>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99060</xdr:colOff>
      <xdr:row>18</xdr:row>
      <xdr:rowOff>5292</xdr:rowOff>
    </xdr:from>
    <xdr:to>
      <xdr:col>1</xdr:col>
      <xdr:colOff>247650</xdr:colOff>
      <xdr:row>18</xdr:row>
      <xdr:rowOff>131022</xdr:rowOff>
    </xdr:to>
    <xdr:sp macro="[0]!InfoClick" textlink="">
      <xdr:nvSpPr>
        <xdr:cNvPr id="13" name="OvalInfo_P_DTBLK">
          <a:extLst>
            <a:ext uri="{FF2B5EF4-FFF2-40B4-BE49-F238E27FC236}">
              <a16:creationId xmlns:a16="http://schemas.microsoft.com/office/drawing/2014/main" id="{70E3BAA9-9BC3-A589-A74C-A83F26E35524}"/>
            </a:ext>
          </a:extLst>
        </xdr:cNvPr>
        <xdr:cNvSpPr>
          <a:spLocks noChangeAspect="1"/>
        </xdr:cNvSpPr>
      </xdr:nvSpPr>
      <xdr:spPr>
        <a:xfrm>
          <a:off x="276860" y="4391025"/>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11</xdr:col>
      <xdr:colOff>92287</xdr:colOff>
      <xdr:row>18</xdr:row>
      <xdr:rowOff>5292</xdr:rowOff>
    </xdr:from>
    <xdr:to>
      <xdr:col>11</xdr:col>
      <xdr:colOff>240877</xdr:colOff>
      <xdr:row>18</xdr:row>
      <xdr:rowOff>131022</xdr:rowOff>
    </xdr:to>
    <xdr:sp macro="[0]!InfoClick" textlink="">
      <xdr:nvSpPr>
        <xdr:cNvPr id="21" name="OvalInfo_P_EFFECTS">
          <a:extLst>
            <a:ext uri="{FF2B5EF4-FFF2-40B4-BE49-F238E27FC236}">
              <a16:creationId xmlns:a16="http://schemas.microsoft.com/office/drawing/2014/main" id="{4DECED57-E113-400C-9474-8C60C4538A71}"/>
            </a:ext>
          </a:extLst>
        </xdr:cNvPr>
        <xdr:cNvSpPr>
          <a:spLocks noChangeAspect="1"/>
        </xdr:cNvSpPr>
      </xdr:nvSpPr>
      <xdr:spPr>
        <a:xfrm>
          <a:off x="7881620" y="4391025"/>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142875</xdr:rowOff>
    </xdr:from>
    <xdr:to>
      <xdr:col>23</xdr:col>
      <xdr:colOff>28575</xdr:colOff>
      <xdr:row>2</xdr:row>
      <xdr:rowOff>619125</xdr:rowOff>
    </xdr:to>
    <xdr:grpSp>
      <xdr:nvGrpSpPr>
        <xdr:cNvPr id="2" name="Group 25">
          <a:extLst>
            <a:ext uri="{FF2B5EF4-FFF2-40B4-BE49-F238E27FC236}">
              <a16:creationId xmlns:a16="http://schemas.microsoft.com/office/drawing/2014/main" id="{00000000-0008-0000-0200-000002000000}"/>
            </a:ext>
          </a:extLst>
        </xdr:cNvPr>
        <xdr:cNvGrpSpPr/>
      </xdr:nvGrpSpPr>
      <xdr:grpSpPr>
        <a:xfrm>
          <a:off x="251460" y="142875"/>
          <a:ext cx="13157835" cy="1078230"/>
          <a:chOff x="5640" y="9525"/>
          <a:chExt cx="6191250" cy="873707"/>
        </a:xfrm>
      </xdr:grpSpPr>
      <xdr:sp macro="" textlink="">
        <xdr:nvSpPr>
          <xdr:cNvPr id="3" name="Rectangle: Rounded Corners 23">
            <a:extLst>
              <a:ext uri="{FF2B5EF4-FFF2-40B4-BE49-F238E27FC236}">
                <a16:creationId xmlns:a16="http://schemas.microsoft.com/office/drawing/2014/main" id="{00000000-0008-0000-0200-000003000000}"/>
              </a:ext>
            </a:extLst>
          </xdr:cNvPr>
          <xdr:cNvSpPr/>
        </xdr:nvSpPr>
        <xdr:spPr>
          <a:xfrm>
            <a:off x="5640" y="34036"/>
            <a:ext cx="6191250"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1">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23825" y="179980"/>
            <a:ext cx="961476" cy="442041"/>
          </a:xfrm>
          <a:prstGeom prst="rect">
            <a:avLst/>
          </a:prstGeom>
        </xdr:spPr>
      </xdr:pic>
      <xdr:pic>
        <xdr:nvPicPr>
          <xdr:cNvPr id="5" name="Picture 9">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10000" b="90000" l="10000" r="90000"/>
                    </a14:imgEffect>
                  </a14:imgLayer>
                </a14:imgProps>
              </a:ext>
            </a:extLst>
          </a:blip>
          <a:stretch>
            <a:fillRect/>
          </a:stretch>
        </xdr:blipFill>
        <xdr:spPr>
          <a:xfrm>
            <a:off x="4919683" y="9525"/>
            <a:ext cx="1026332" cy="873707"/>
          </a:xfrm>
          <a:prstGeom prst="rect">
            <a:avLst/>
          </a:prstGeom>
        </xdr:spPr>
      </xdr:pic>
      <xdr:sp macro="" textlink="">
        <xdr:nvSpPr>
          <xdr:cNvPr id="6" name="TextBox 24">
            <a:extLst>
              <a:ext uri="{FF2B5EF4-FFF2-40B4-BE49-F238E27FC236}">
                <a16:creationId xmlns:a16="http://schemas.microsoft.com/office/drawing/2014/main" id="{00000000-0008-0000-0200-000006000000}"/>
              </a:ext>
            </a:extLst>
          </xdr:cNvPr>
          <xdr:cNvSpPr txBox="1"/>
        </xdr:nvSpPr>
        <xdr:spPr>
          <a:xfrm>
            <a:off x="1416815" y="130884"/>
            <a:ext cx="1482854" cy="605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95250</xdr:colOff>
      <xdr:row>1</xdr:row>
      <xdr:rowOff>28575</xdr:rowOff>
    </xdr:from>
    <xdr:to>
      <xdr:col>16</xdr:col>
      <xdr:colOff>400050</xdr:colOff>
      <xdr:row>18</xdr:row>
      <xdr:rowOff>19050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428625</xdr:colOff>
      <xdr:row>1</xdr:row>
      <xdr:rowOff>57150</xdr:rowOff>
    </xdr:from>
    <xdr:to>
      <xdr:col>8</xdr:col>
      <xdr:colOff>123825</xdr:colOff>
      <xdr:row>18</xdr:row>
      <xdr:rowOff>47625</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400050</xdr:colOff>
      <xdr:row>21</xdr:row>
      <xdr:rowOff>28575</xdr:rowOff>
    </xdr:from>
    <xdr:to>
      <xdr:col>8</xdr:col>
      <xdr:colOff>95250</xdr:colOff>
      <xdr:row>38</xdr:row>
      <xdr:rowOff>19050</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114300</xdr:colOff>
      <xdr:row>21</xdr:row>
      <xdr:rowOff>28575</xdr:rowOff>
    </xdr:from>
    <xdr:to>
      <xdr:col>16</xdr:col>
      <xdr:colOff>419100</xdr:colOff>
      <xdr:row>38</xdr:row>
      <xdr:rowOff>19050</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495598</xdr:colOff>
      <xdr:row>1</xdr:row>
      <xdr:rowOff>158750</xdr:rowOff>
    </xdr:from>
    <xdr:to>
      <xdr:col>8</xdr:col>
      <xdr:colOff>22225</xdr:colOff>
      <xdr:row>2</xdr:row>
      <xdr:rowOff>128270</xdr:rowOff>
    </xdr:to>
    <xdr:sp macro="[0]!InfoClick" textlink="">
      <xdr:nvSpPr>
        <xdr:cNvPr id="4" name="OvalInfo_C_POS">
          <a:extLst>
            <a:ext uri="{FF2B5EF4-FFF2-40B4-BE49-F238E27FC236}">
              <a16:creationId xmlns:a16="http://schemas.microsoft.com/office/drawing/2014/main" id="{05027EB4-0644-09F1-13C3-F4709D7E06E3}"/>
            </a:ext>
          </a:extLst>
        </xdr:cNvPr>
        <xdr:cNvSpPr/>
      </xdr:nvSpPr>
      <xdr:spPr>
        <a:xfrm>
          <a:off x="4762798" y="326390"/>
          <a:ext cx="136227" cy="137160"/>
        </a:xfrm>
        <a:prstGeom prst="ellipse">
          <a:avLst/>
        </a:prstGeom>
        <a:solidFill>
          <a:srgbClr val="4472C4"/>
        </a:solidFill>
        <a:ln>
          <a:noFill/>
        </a:ln>
        <a:effectLst>
          <a:outerShdw blurRad="63500" sx="101000" sy="101000" rotWithShape="0">
            <a:srgbClr val="000000">
              <a:alpha val="2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nchorCtr="1">
          <a:noAutofit/>
        </a:bodyPr>
        <a:lstStyle/>
        <a:p>
          <a:pPr marL="0" indent="0" algn="l"/>
          <a:r>
            <a:rPr lang="en-US" sz="1000" b="1" i="0">
              <a:solidFill>
                <a:srgbClr val="FFFFFF"/>
              </a:solidFill>
              <a:latin typeface="HelveticaNeueLT Std Lt"/>
              <a:ea typeface="+mn-ea"/>
              <a:cs typeface="+mn-cs"/>
            </a:rPr>
            <a:t>i</a:t>
          </a:r>
        </a:p>
      </xdr:txBody>
    </xdr:sp>
    <xdr:clientData fPrintsWithSheet="0"/>
  </xdr:twoCellAnchor>
  <xdr:twoCellAnchor editAs="oneCell">
    <xdr:from>
      <xdr:col>16</xdr:col>
      <xdr:colOff>162223</xdr:colOff>
      <xdr:row>1</xdr:row>
      <xdr:rowOff>130175</xdr:rowOff>
    </xdr:from>
    <xdr:to>
      <xdr:col>16</xdr:col>
      <xdr:colOff>298450</xdr:colOff>
      <xdr:row>2</xdr:row>
      <xdr:rowOff>99695</xdr:rowOff>
    </xdr:to>
    <xdr:sp macro="[0]!InfoClick" textlink="">
      <xdr:nvSpPr>
        <xdr:cNvPr id="5" name="OvalInfo_C_DDCBTU">
          <a:extLst>
            <a:ext uri="{FF2B5EF4-FFF2-40B4-BE49-F238E27FC236}">
              <a16:creationId xmlns:a16="http://schemas.microsoft.com/office/drawing/2014/main" id="{8273B6BF-419B-4BD4-7E7F-BC924FA13C8B}"/>
            </a:ext>
          </a:extLst>
        </xdr:cNvPr>
        <xdr:cNvSpPr/>
      </xdr:nvSpPr>
      <xdr:spPr>
        <a:xfrm>
          <a:off x="9915823" y="297815"/>
          <a:ext cx="136227" cy="137160"/>
        </a:xfrm>
        <a:prstGeom prst="ellipse">
          <a:avLst/>
        </a:prstGeom>
        <a:solidFill>
          <a:srgbClr val="4472C4"/>
        </a:solidFill>
        <a:ln>
          <a:noFill/>
        </a:ln>
        <a:effectLst>
          <a:outerShdw blurRad="63500" sx="101000" sy="101000" rotWithShape="0">
            <a:srgbClr val="000000">
              <a:alpha val="2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nchorCtr="1">
          <a:noAutofit/>
        </a:bodyPr>
        <a:lstStyle/>
        <a:p>
          <a:pPr marL="0" indent="0" algn="l"/>
          <a:r>
            <a:rPr lang="en-US" sz="1000" b="1" i="0">
              <a:solidFill>
                <a:srgbClr val="FFFFFF"/>
              </a:solidFill>
              <a:latin typeface="HelveticaNeueLT Std Lt"/>
              <a:ea typeface="+mn-ea"/>
              <a:cs typeface="+mn-cs"/>
            </a:rPr>
            <a:t>i</a:t>
          </a:r>
        </a:p>
      </xdr:txBody>
    </xdr:sp>
    <xdr:clientData fPrintsWithSheet="0"/>
  </xdr:twoCellAnchor>
  <xdr:twoCellAnchor editAs="oneCell">
    <xdr:from>
      <xdr:col>7</xdr:col>
      <xdr:colOff>467023</xdr:colOff>
      <xdr:row>21</xdr:row>
      <xdr:rowOff>130175</xdr:rowOff>
    </xdr:from>
    <xdr:to>
      <xdr:col>7</xdr:col>
      <xdr:colOff>603250</xdr:colOff>
      <xdr:row>22</xdr:row>
      <xdr:rowOff>99695</xdr:rowOff>
    </xdr:to>
    <xdr:sp macro="[0]!InfoClick" textlink="">
      <xdr:nvSpPr>
        <xdr:cNvPr id="8" name="OvalInfo_C_DDC">
          <a:extLst>
            <a:ext uri="{FF2B5EF4-FFF2-40B4-BE49-F238E27FC236}">
              <a16:creationId xmlns:a16="http://schemas.microsoft.com/office/drawing/2014/main" id="{86846918-814E-3A18-12FB-A7ABB38BABFF}"/>
            </a:ext>
          </a:extLst>
        </xdr:cNvPr>
        <xdr:cNvSpPr/>
      </xdr:nvSpPr>
      <xdr:spPr>
        <a:xfrm>
          <a:off x="4734223" y="3650615"/>
          <a:ext cx="136227" cy="137160"/>
        </a:xfrm>
        <a:prstGeom prst="ellipse">
          <a:avLst/>
        </a:prstGeom>
        <a:solidFill>
          <a:srgbClr val="4472C4"/>
        </a:solidFill>
        <a:ln>
          <a:noFill/>
        </a:ln>
        <a:effectLst>
          <a:outerShdw blurRad="63500" sx="101000" sy="101000" rotWithShape="0">
            <a:srgbClr val="000000">
              <a:alpha val="2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nchorCtr="1">
          <a:noAutofit/>
        </a:bodyPr>
        <a:lstStyle/>
        <a:p>
          <a:pPr marL="0" indent="0" algn="l"/>
          <a:r>
            <a:rPr lang="en-US" sz="1000" b="1" i="0">
              <a:solidFill>
                <a:srgbClr val="FFFFFF"/>
              </a:solidFill>
              <a:latin typeface="HelveticaNeueLT Std Lt"/>
              <a:ea typeface="+mn-ea"/>
              <a:cs typeface="+mn-cs"/>
            </a:rPr>
            <a:t>i</a:t>
          </a:r>
        </a:p>
      </xdr:txBody>
    </xdr:sp>
    <xdr:clientData fPrintsWithSheet="0"/>
  </xdr:twoCellAnchor>
  <xdr:twoCellAnchor editAs="oneCell">
    <xdr:from>
      <xdr:col>16</xdr:col>
      <xdr:colOff>181273</xdr:colOff>
      <xdr:row>21</xdr:row>
      <xdr:rowOff>130175</xdr:rowOff>
    </xdr:from>
    <xdr:to>
      <xdr:col>16</xdr:col>
      <xdr:colOff>317500</xdr:colOff>
      <xdr:row>22</xdr:row>
      <xdr:rowOff>99695</xdr:rowOff>
    </xdr:to>
    <xdr:sp macro="[0]!InfoClick" textlink="">
      <xdr:nvSpPr>
        <xdr:cNvPr id="9" name="OvalInfo_C_GPMBTU">
          <a:extLst>
            <a:ext uri="{FF2B5EF4-FFF2-40B4-BE49-F238E27FC236}">
              <a16:creationId xmlns:a16="http://schemas.microsoft.com/office/drawing/2014/main" id="{0F658B9E-0092-BF4F-93D0-50DED11C14C6}"/>
            </a:ext>
          </a:extLst>
        </xdr:cNvPr>
        <xdr:cNvSpPr/>
      </xdr:nvSpPr>
      <xdr:spPr>
        <a:xfrm>
          <a:off x="9934873" y="3650615"/>
          <a:ext cx="136227" cy="137160"/>
        </a:xfrm>
        <a:prstGeom prst="ellipse">
          <a:avLst/>
        </a:prstGeom>
        <a:solidFill>
          <a:srgbClr val="4472C4"/>
        </a:solidFill>
        <a:ln>
          <a:noFill/>
        </a:ln>
        <a:effectLst>
          <a:outerShdw blurRad="63500" sx="101000" sy="101000" rotWithShape="0">
            <a:srgbClr val="000000">
              <a:alpha val="2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nchorCtr="1">
          <a:noAutofit/>
        </a:bodyPr>
        <a:lstStyle/>
        <a:p>
          <a:pPr marL="0" indent="0" algn="l"/>
          <a:r>
            <a:rPr lang="en-US" sz="1000" b="1" i="0">
              <a:solidFill>
                <a:srgbClr val="FFFFFF"/>
              </a:solidFill>
              <a:latin typeface="HelveticaNeueLT Std Lt"/>
              <a:ea typeface="+mn-ea"/>
              <a:cs typeface="+mn-cs"/>
            </a:rPr>
            <a:t>i</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0</xdr:col>
      <xdr:colOff>161290</xdr:colOff>
      <xdr:row>0</xdr:row>
      <xdr:rowOff>27940</xdr:rowOff>
    </xdr:from>
    <xdr:to>
      <xdr:col>15</xdr:col>
      <xdr:colOff>371477</xdr:colOff>
      <xdr:row>6</xdr:row>
      <xdr:rowOff>75724</xdr:rowOff>
    </xdr:to>
    <xdr:grpSp>
      <xdr:nvGrpSpPr>
        <xdr:cNvPr id="2" name="BannerGroupResults">
          <a:extLst>
            <a:ext uri="{FF2B5EF4-FFF2-40B4-BE49-F238E27FC236}">
              <a16:creationId xmlns:a16="http://schemas.microsoft.com/office/drawing/2014/main" id="{5A93103C-1268-417C-AE28-F82461A8FF4C}"/>
            </a:ext>
          </a:extLst>
        </xdr:cNvPr>
        <xdr:cNvGrpSpPr/>
      </xdr:nvGrpSpPr>
      <xdr:grpSpPr>
        <a:xfrm>
          <a:off x="161290" y="27940"/>
          <a:ext cx="13537567" cy="1053624"/>
          <a:chOff x="1" y="0"/>
          <a:chExt cx="9972999" cy="898266"/>
        </a:xfrm>
      </xdr:grpSpPr>
      <xdr:sp macro="" textlink="">
        <xdr:nvSpPr>
          <xdr:cNvPr id="3" name="Rectangle: Rounded Corners 2">
            <a:extLst>
              <a:ext uri="{FF2B5EF4-FFF2-40B4-BE49-F238E27FC236}">
                <a16:creationId xmlns:a16="http://schemas.microsoft.com/office/drawing/2014/main" id="{4BA00BE5-0D83-9A35-65A6-5DCAA387B8EA}"/>
              </a:ext>
            </a:extLst>
          </xdr:cNvPr>
          <xdr:cNvSpPr/>
        </xdr:nvSpPr>
        <xdr:spPr>
          <a:xfrm>
            <a:off x="1" y="0"/>
            <a:ext cx="9972999"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a:extLst>
              <a:ext uri="{FF2B5EF4-FFF2-40B4-BE49-F238E27FC236}">
                <a16:creationId xmlns:a16="http://schemas.microsoft.com/office/drawing/2014/main" id="{0E7A552B-A64C-5C63-5948-3B4A1588D3C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23825" y="179980"/>
            <a:ext cx="1247775" cy="442041"/>
          </a:xfrm>
          <a:prstGeom prst="rect">
            <a:avLst/>
          </a:prstGeom>
        </xdr:spPr>
      </xdr:pic>
      <xdr:pic>
        <xdr:nvPicPr>
          <xdr:cNvPr id="5" name="Picture 4">
            <a:extLst>
              <a:ext uri="{FF2B5EF4-FFF2-40B4-BE49-F238E27FC236}">
                <a16:creationId xmlns:a16="http://schemas.microsoft.com/office/drawing/2014/main" id="{CF50B57D-1716-370B-A722-822DAF103747}"/>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10000" b="90000" l="10000" r="90000"/>
                    </a14:imgEffect>
                  </a14:imgLayer>
                </a14:imgProps>
              </a:ext>
            </a:extLst>
          </a:blip>
          <a:stretch>
            <a:fillRect/>
          </a:stretch>
        </xdr:blipFill>
        <xdr:spPr>
          <a:xfrm>
            <a:off x="4393985" y="24559"/>
            <a:ext cx="1143000" cy="873707"/>
          </a:xfrm>
          <a:prstGeom prst="rect">
            <a:avLst/>
          </a:prstGeom>
        </xdr:spPr>
      </xdr:pic>
      <xdr:sp macro="" textlink="">
        <xdr:nvSpPr>
          <xdr:cNvPr id="6" name="TextBox 5">
            <a:extLst>
              <a:ext uri="{FF2B5EF4-FFF2-40B4-BE49-F238E27FC236}">
                <a16:creationId xmlns:a16="http://schemas.microsoft.com/office/drawing/2014/main" id="{95A1E5F8-5739-80D6-711C-8C7833D25E3E}"/>
              </a:ext>
            </a:extLst>
          </xdr:cNvPr>
          <xdr:cNvSpPr txBox="1"/>
        </xdr:nvSpPr>
        <xdr:spPr>
          <a:xfrm>
            <a:off x="1613966" y="79031"/>
            <a:ext cx="3924300"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8</xdr:col>
      <xdr:colOff>15240</xdr:colOff>
      <xdr:row>18</xdr:row>
      <xdr:rowOff>160020</xdr:rowOff>
    </xdr:from>
    <xdr:to>
      <xdr:col>14</xdr:col>
      <xdr:colOff>294429</xdr:colOff>
      <xdr:row>34</xdr:row>
      <xdr:rowOff>7620</xdr:rowOff>
    </xdr:to>
    <xdr:graphicFrame macro="">
      <xdr:nvGraphicFramePr>
        <xdr:cNvPr id="7" name="ChartPumpingCost">
          <a:extLst>
            <a:ext uri="{FF2B5EF4-FFF2-40B4-BE49-F238E27FC236}">
              <a16:creationId xmlns:a16="http://schemas.microsoft.com/office/drawing/2014/main" id="{84B8AB34-A791-4012-9588-BD81EAE9D8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0</xdr:col>
      <xdr:colOff>184150</xdr:colOff>
      <xdr:row>38</xdr:row>
      <xdr:rowOff>114300</xdr:rowOff>
    </xdr:from>
    <xdr:to>
      <xdr:col>5</xdr:col>
      <xdr:colOff>1143000</xdr:colOff>
      <xdr:row>40</xdr:row>
      <xdr:rowOff>110067</xdr:rowOff>
    </xdr:to>
    <xdr:sp macro="" textlink="">
      <xdr:nvSpPr>
        <xdr:cNvPr id="8" name="HdrGreenhouseGas">
          <a:extLst>
            <a:ext uri="{FF2B5EF4-FFF2-40B4-BE49-F238E27FC236}">
              <a16:creationId xmlns:a16="http://schemas.microsoft.com/office/drawing/2014/main" id="{17DD8A89-BD6F-423C-9E0D-628CAA7A9840}"/>
            </a:ext>
          </a:extLst>
        </xdr:cNvPr>
        <xdr:cNvSpPr/>
      </xdr:nvSpPr>
      <xdr:spPr>
        <a:xfrm>
          <a:off x="184150" y="6576060"/>
          <a:ext cx="6772910" cy="331047"/>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Greenhouse Gas Equivalents</a:t>
          </a:r>
        </a:p>
      </xdr:txBody>
    </xdr:sp>
    <xdr:clientData/>
  </xdr:twoCellAnchor>
  <xdr:twoCellAnchor>
    <xdr:from>
      <xdr:col>0</xdr:col>
      <xdr:colOff>603250</xdr:colOff>
      <xdr:row>8</xdr:row>
      <xdr:rowOff>7620</xdr:rowOff>
    </xdr:from>
    <xdr:to>
      <xdr:col>5</xdr:col>
      <xdr:colOff>737870</xdr:colOff>
      <xdr:row>9</xdr:row>
      <xdr:rowOff>144780</xdr:rowOff>
    </xdr:to>
    <xdr:sp macro="" textlink="">
      <xdr:nvSpPr>
        <xdr:cNvPr id="10" name="HdrBeforeAfter">
          <a:extLst>
            <a:ext uri="{FF2B5EF4-FFF2-40B4-BE49-F238E27FC236}">
              <a16:creationId xmlns:a16="http://schemas.microsoft.com/office/drawing/2014/main" id="{9FCB88E4-7B28-95CA-00BD-52CED1034943}"/>
            </a:ext>
          </a:extLst>
        </xdr:cNvPr>
        <xdr:cNvSpPr/>
      </xdr:nvSpPr>
      <xdr:spPr>
        <a:xfrm>
          <a:off x="603250" y="1356360"/>
          <a:ext cx="594868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Before &amp; After: Changing Your Delta-T</a:t>
          </a:r>
        </a:p>
      </xdr:txBody>
    </xdr:sp>
    <xdr:clientData/>
  </xdr:twoCellAnchor>
  <xdr:twoCellAnchor>
    <xdr:from>
      <xdr:col>0</xdr:col>
      <xdr:colOff>184150</xdr:colOff>
      <xdr:row>47</xdr:row>
      <xdr:rowOff>121920</xdr:rowOff>
    </xdr:from>
    <xdr:to>
      <xdr:col>6</xdr:col>
      <xdr:colOff>7620</xdr:colOff>
      <xdr:row>49</xdr:row>
      <xdr:rowOff>99060</xdr:rowOff>
    </xdr:to>
    <xdr:sp macro="" textlink="">
      <xdr:nvSpPr>
        <xdr:cNvPr id="11" name="HdrFinancialSummary">
          <a:extLst>
            <a:ext uri="{FF2B5EF4-FFF2-40B4-BE49-F238E27FC236}">
              <a16:creationId xmlns:a16="http://schemas.microsoft.com/office/drawing/2014/main" id="{502CB28B-2DC9-92BE-E507-51BDB87FD5E6}"/>
            </a:ext>
          </a:extLst>
        </xdr:cNvPr>
        <xdr:cNvSpPr/>
      </xdr:nvSpPr>
      <xdr:spPr>
        <a:xfrm>
          <a:off x="184150" y="8092440"/>
          <a:ext cx="6788150" cy="31242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Financial Summary</a:t>
          </a:r>
        </a:p>
      </xdr:txBody>
    </xdr:sp>
    <xdr:clientData/>
  </xdr:twoCellAnchor>
  <xdr:twoCellAnchor>
    <xdr:from>
      <xdr:col>0</xdr:col>
      <xdr:colOff>184150</xdr:colOff>
      <xdr:row>56</xdr:row>
      <xdr:rowOff>0</xdr:rowOff>
    </xdr:from>
    <xdr:to>
      <xdr:col>6</xdr:col>
      <xdr:colOff>7620</xdr:colOff>
      <xdr:row>57</xdr:row>
      <xdr:rowOff>137160</xdr:rowOff>
    </xdr:to>
    <xdr:sp macro="" textlink="">
      <xdr:nvSpPr>
        <xdr:cNvPr id="12" name="HdrUtilityRebate">
          <a:extLst>
            <a:ext uri="{FF2B5EF4-FFF2-40B4-BE49-F238E27FC236}">
              <a16:creationId xmlns:a16="http://schemas.microsoft.com/office/drawing/2014/main" id="{DD2EA255-0A55-D8CC-FA24-ACE02406D0EC}"/>
            </a:ext>
          </a:extLst>
        </xdr:cNvPr>
        <xdr:cNvSpPr/>
      </xdr:nvSpPr>
      <xdr:spPr>
        <a:xfrm>
          <a:off x="184150" y="9479280"/>
          <a:ext cx="678815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Utility Rebate Support</a:t>
          </a:r>
        </a:p>
      </xdr:txBody>
    </xdr:sp>
    <xdr:clientData/>
  </xdr:twoCellAnchor>
  <xdr:twoCellAnchor editAs="oneCell">
    <xdr:from>
      <xdr:col>2</xdr:col>
      <xdr:colOff>924560</xdr:colOff>
      <xdr:row>34</xdr:row>
      <xdr:rowOff>160020</xdr:rowOff>
    </xdr:from>
    <xdr:to>
      <xdr:col>2</xdr:col>
      <xdr:colOff>1109980</xdr:colOff>
      <xdr:row>36</xdr:row>
      <xdr:rowOff>11430</xdr:rowOff>
    </xdr:to>
    <xdr:sp macro="[0]!InfoClick" textlink="">
      <xdr:nvSpPr>
        <xdr:cNvPr id="13" name="OvalSliderInfo">
          <a:extLst>
            <a:ext uri="{FF2B5EF4-FFF2-40B4-BE49-F238E27FC236}">
              <a16:creationId xmlns:a16="http://schemas.microsoft.com/office/drawing/2014/main" id="{47C6C68E-9CD4-49E5-840C-5F54ECA8D228}"/>
            </a:ext>
          </a:extLst>
        </xdr:cNvPr>
        <xdr:cNvSpPr>
          <a:spLocks noChangeAspect="1"/>
        </xdr:cNvSpPr>
      </xdr:nvSpPr>
      <xdr:spPr>
        <a:xfrm>
          <a:off x="3827780" y="5951220"/>
          <a:ext cx="185420" cy="18669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0</xdr:col>
      <xdr:colOff>161290</xdr:colOff>
      <xdr:row>6</xdr:row>
      <xdr:rowOff>111760</xdr:rowOff>
    </xdr:from>
    <xdr:to>
      <xdr:col>5</xdr:col>
      <xdr:colOff>798830</xdr:colOff>
      <xdr:row>8</xdr:row>
      <xdr:rowOff>73660</xdr:rowOff>
    </xdr:to>
    <xdr:sp macro="" textlink="">
      <xdr:nvSpPr>
        <xdr:cNvPr id="9" name="HdrResultsHeader">
          <a:extLst>
            <a:ext uri="{FF2B5EF4-FFF2-40B4-BE49-F238E27FC236}">
              <a16:creationId xmlns:a16="http://schemas.microsoft.com/office/drawing/2014/main" id="{1A6D5557-1602-93A0-22C9-D87042AB9853}"/>
            </a:ext>
          </a:extLst>
        </xdr:cNvPr>
        <xdr:cNvSpPr/>
      </xdr:nvSpPr>
      <xdr:spPr>
        <a:xfrm>
          <a:off x="161290" y="1117600"/>
          <a:ext cx="645160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Your Energy Valve Savings</a:t>
          </a:r>
        </a:p>
      </xdr:txBody>
    </xdr:sp>
    <xdr:clientData/>
  </xdr:twoCellAnchor>
  <xdr:twoCellAnchor editAs="oneCell">
    <xdr:from>
      <xdr:col>2</xdr:col>
      <xdr:colOff>985521</xdr:colOff>
      <xdr:row>42</xdr:row>
      <xdr:rowOff>20320</xdr:rowOff>
    </xdr:from>
    <xdr:to>
      <xdr:col>2</xdr:col>
      <xdr:colOff>1121748</xdr:colOff>
      <xdr:row>42</xdr:row>
      <xdr:rowOff>157480</xdr:rowOff>
    </xdr:to>
    <xdr:sp macro="[0]!InfoClick" textlink="">
      <xdr:nvSpPr>
        <xdr:cNvPr id="14" name="OvalGHGInfo1">
          <a:extLst>
            <a:ext uri="{FF2B5EF4-FFF2-40B4-BE49-F238E27FC236}">
              <a16:creationId xmlns:a16="http://schemas.microsoft.com/office/drawing/2014/main" id="{6F2CC7F7-C950-4B35-805A-6EB03B687907}"/>
            </a:ext>
          </a:extLst>
        </xdr:cNvPr>
        <xdr:cNvSpPr>
          <a:spLocks noChangeAspect="1"/>
        </xdr:cNvSpPr>
      </xdr:nvSpPr>
      <xdr:spPr>
        <a:xfrm>
          <a:off x="3888741" y="715264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985521</xdr:colOff>
      <xdr:row>43</xdr:row>
      <xdr:rowOff>43180</xdr:rowOff>
    </xdr:from>
    <xdr:to>
      <xdr:col>2</xdr:col>
      <xdr:colOff>1121748</xdr:colOff>
      <xdr:row>44</xdr:row>
      <xdr:rowOff>12700</xdr:rowOff>
    </xdr:to>
    <xdr:sp macro="[0]!InfoClick" textlink="">
      <xdr:nvSpPr>
        <xdr:cNvPr id="15" name="OvalGHGInfo2">
          <a:extLst>
            <a:ext uri="{FF2B5EF4-FFF2-40B4-BE49-F238E27FC236}">
              <a16:creationId xmlns:a16="http://schemas.microsoft.com/office/drawing/2014/main" id="{ECD392E9-2C37-4253-A12E-28ED8330E594}"/>
            </a:ext>
          </a:extLst>
        </xdr:cNvPr>
        <xdr:cNvSpPr>
          <a:spLocks noChangeAspect="1"/>
        </xdr:cNvSpPr>
      </xdr:nvSpPr>
      <xdr:spPr>
        <a:xfrm>
          <a:off x="3888741" y="734314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985521</xdr:colOff>
      <xdr:row>44</xdr:row>
      <xdr:rowOff>43180</xdr:rowOff>
    </xdr:from>
    <xdr:to>
      <xdr:col>2</xdr:col>
      <xdr:colOff>1121748</xdr:colOff>
      <xdr:row>45</xdr:row>
      <xdr:rowOff>12700</xdr:rowOff>
    </xdr:to>
    <xdr:sp macro="[0]!InfoClick" textlink="">
      <xdr:nvSpPr>
        <xdr:cNvPr id="16" name="OvalGHGInfo3">
          <a:extLst>
            <a:ext uri="{FF2B5EF4-FFF2-40B4-BE49-F238E27FC236}">
              <a16:creationId xmlns:a16="http://schemas.microsoft.com/office/drawing/2014/main" id="{408F4593-B5DF-48E4-9C75-0ADE17861A9F}"/>
            </a:ext>
          </a:extLst>
        </xdr:cNvPr>
        <xdr:cNvSpPr>
          <a:spLocks noChangeAspect="1"/>
        </xdr:cNvSpPr>
      </xdr:nvSpPr>
      <xdr:spPr>
        <a:xfrm>
          <a:off x="3888741" y="751078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50800</xdr:colOff>
      <xdr:row>11</xdr:row>
      <xdr:rowOff>106680</xdr:rowOff>
    </xdr:from>
    <xdr:to>
      <xdr:col>4</xdr:col>
      <xdr:colOff>187027</xdr:colOff>
      <xdr:row>11</xdr:row>
      <xdr:rowOff>243840</xdr:rowOff>
    </xdr:to>
    <xdr:sp macro="[0]!InfoClick" textlink="">
      <xdr:nvSpPr>
        <xdr:cNvPr id="17" name="OvalInfo_R_BA">
          <a:extLst>
            <a:ext uri="{FF2B5EF4-FFF2-40B4-BE49-F238E27FC236}">
              <a16:creationId xmlns:a16="http://schemas.microsoft.com/office/drawing/2014/main" id="{B2CA57C4-44D0-7E29-EDD1-32E5A0B00021}"/>
            </a:ext>
          </a:extLst>
        </xdr:cNvPr>
        <xdr:cNvSpPr>
          <a:spLocks noChangeAspect="1"/>
        </xdr:cNvSpPr>
      </xdr:nvSpPr>
      <xdr:spPr>
        <a:xfrm>
          <a:off x="5255260" y="195834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50800</xdr:colOff>
      <xdr:row>19</xdr:row>
      <xdr:rowOff>15240</xdr:rowOff>
    </xdr:from>
    <xdr:to>
      <xdr:col>7</xdr:col>
      <xdr:colOff>187027</xdr:colOff>
      <xdr:row>19</xdr:row>
      <xdr:rowOff>152400</xdr:rowOff>
    </xdr:to>
    <xdr:sp macro="[0]!InfoClick" textlink="">
      <xdr:nvSpPr>
        <xdr:cNvPr id="18" name="OvalInfo_R_TABLE">
          <a:extLst>
            <a:ext uri="{FF2B5EF4-FFF2-40B4-BE49-F238E27FC236}">
              <a16:creationId xmlns:a16="http://schemas.microsoft.com/office/drawing/2014/main" id="{8E8AF631-2FEF-2D18-0276-5E13C233E5D0}"/>
            </a:ext>
          </a:extLst>
        </xdr:cNvPr>
        <xdr:cNvSpPr>
          <a:spLocks noChangeAspect="1"/>
        </xdr:cNvSpPr>
      </xdr:nvSpPr>
      <xdr:spPr>
        <a:xfrm>
          <a:off x="8501380" y="357378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50800</xdr:colOff>
      <xdr:row>26</xdr:row>
      <xdr:rowOff>15240</xdr:rowOff>
    </xdr:from>
    <xdr:to>
      <xdr:col>7</xdr:col>
      <xdr:colOff>187027</xdr:colOff>
      <xdr:row>26</xdr:row>
      <xdr:rowOff>152400</xdr:rowOff>
    </xdr:to>
    <xdr:sp macro="[0]!InfoClick" textlink="">
      <xdr:nvSpPr>
        <xdr:cNvPr id="19" name="OvalInfo_R_SAVINGS">
          <a:extLst>
            <a:ext uri="{FF2B5EF4-FFF2-40B4-BE49-F238E27FC236}">
              <a16:creationId xmlns:a16="http://schemas.microsoft.com/office/drawing/2014/main" id="{1955BC47-134D-7C97-0FEF-4F410C84D976}"/>
            </a:ext>
          </a:extLst>
        </xdr:cNvPr>
        <xdr:cNvSpPr>
          <a:spLocks noChangeAspect="1"/>
        </xdr:cNvSpPr>
      </xdr:nvSpPr>
      <xdr:spPr>
        <a:xfrm>
          <a:off x="8501380" y="474726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50800</xdr:colOff>
      <xdr:row>66</xdr:row>
      <xdr:rowOff>15240</xdr:rowOff>
    </xdr:from>
    <xdr:to>
      <xdr:col>5</xdr:col>
      <xdr:colOff>187027</xdr:colOff>
      <xdr:row>66</xdr:row>
      <xdr:rowOff>152400</xdr:rowOff>
    </xdr:to>
    <xdr:sp macro="[0]!InfoClick" textlink="">
      <xdr:nvSpPr>
        <xdr:cNvPr id="20" name="OvalInfo_R_KWH">
          <a:extLst>
            <a:ext uri="{FF2B5EF4-FFF2-40B4-BE49-F238E27FC236}">
              <a16:creationId xmlns:a16="http://schemas.microsoft.com/office/drawing/2014/main" id="{9567B3C6-3EA5-A24F-51CA-540D717120EB}"/>
            </a:ext>
          </a:extLst>
        </xdr:cNvPr>
        <xdr:cNvSpPr>
          <a:spLocks noChangeAspect="1"/>
        </xdr:cNvSpPr>
      </xdr:nvSpPr>
      <xdr:spPr>
        <a:xfrm>
          <a:off x="6200140" y="1155192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50800</xdr:colOff>
      <xdr:row>67</xdr:row>
      <xdr:rowOff>15240</xdr:rowOff>
    </xdr:from>
    <xdr:to>
      <xdr:col>5</xdr:col>
      <xdr:colOff>187027</xdr:colOff>
      <xdr:row>67</xdr:row>
      <xdr:rowOff>152400</xdr:rowOff>
    </xdr:to>
    <xdr:sp macro="[0]!InfoClick" textlink="">
      <xdr:nvSpPr>
        <xdr:cNvPr id="21" name="OvalInfo_R_AVGKW">
          <a:extLst>
            <a:ext uri="{FF2B5EF4-FFF2-40B4-BE49-F238E27FC236}">
              <a16:creationId xmlns:a16="http://schemas.microsoft.com/office/drawing/2014/main" id="{F55183AB-C3A8-0DCF-71C5-11CAC9D2E14A}"/>
            </a:ext>
          </a:extLst>
        </xdr:cNvPr>
        <xdr:cNvSpPr>
          <a:spLocks noChangeAspect="1"/>
        </xdr:cNvSpPr>
      </xdr:nvSpPr>
      <xdr:spPr>
        <a:xfrm>
          <a:off x="6200140" y="1171956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50800</xdr:colOff>
      <xdr:row>68</xdr:row>
      <xdr:rowOff>15240</xdr:rowOff>
    </xdr:from>
    <xdr:to>
      <xdr:col>5</xdr:col>
      <xdr:colOff>187027</xdr:colOff>
      <xdr:row>68</xdr:row>
      <xdr:rowOff>152400</xdr:rowOff>
    </xdr:to>
    <xdr:sp macro="[0]!InfoClick" textlink="">
      <xdr:nvSpPr>
        <xdr:cNvPr id="22" name="OvalInfo_R_PEAKKW">
          <a:extLst>
            <a:ext uri="{FF2B5EF4-FFF2-40B4-BE49-F238E27FC236}">
              <a16:creationId xmlns:a16="http://schemas.microsoft.com/office/drawing/2014/main" id="{363B17DD-5F1B-2B4A-3E84-AB08263A1FA3}"/>
            </a:ext>
          </a:extLst>
        </xdr:cNvPr>
        <xdr:cNvSpPr>
          <a:spLocks noChangeAspect="1"/>
        </xdr:cNvSpPr>
      </xdr:nvSpPr>
      <xdr:spPr>
        <a:xfrm>
          <a:off x="6200140" y="1188720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50800</xdr:colOff>
      <xdr:row>72</xdr:row>
      <xdr:rowOff>15240</xdr:rowOff>
    </xdr:from>
    <xdr:to>
      <xdr:col>5</xdr:col>
      <xdr:colOff>187027</xdr:colOff>
      <xdr:row>72</xdr:row>
      <xdr:rowOff>152400</xdr:rowOff>
    </xdr:to>
    <xdr:sp macro="[0]!InfoClick" textlink="">
      <xdr:nvSpPr>
        <xdr:cNvPr id="23" name="OvalInfo_R_PCT">
          <a:extLst>
            <a:ext uri="{FF2B5EF4-FFF2-40B4-BE49-F238E27FC236}">
              <a16:creationId xmlns:a16="http://schemas.microsoft.com/office/drawing/2014/main" id="{6D50D73D-5DCC-C139-F7F7-DAEF2DA0E52A}"/>
            </a:ext>
          </a:extLst>
        </xdr:cNvPr>
        <xdr:cNvSpPr>
          <a:spLocks noChangeAspect="1"/>
        </xdr:cNvSpPr>
      </xdr:nvSpPr>
      <xdr:spPr>
        <a:xfrm>
          <a:off x="6200140" y="1255776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50800</xdr:colOff>
      <xdr:row>76</xdr:row>
      <xdr:rowOff>15239</xdr:rowOff>
    </xdr:from>
    <xdr:to>
      <xdr:col>5</xdr:col>
      <xdr:colOff>187027</xdr:colOff>
      <xdr:row>76</xdr:row>
      <xdr:rowOff>152399</xdr:rowOff>
    </xdr:to>
    <xdr:sp macro="[0]!InfoClick" textlink="">
      <xdr:nvSpPr>
        <xdr:cNvPr id="24" name="OvalInfo_R_LIFEKWH">
          <a:extLst>
            <a:ext uri="{FF2B5EF4-FFF2-40B4-BE49-F238E27FC236}">
              <a16:creationId xmlns:a16="http://schemas.microsoft.com/office/drawing/2014/main" id="{0B6F3AAF-378F-6535-70BE-C98E63103E45}"/>
            </a:ext>
          </a:extLst>
        </xdr:cNvPr>
        <xdr:cNvSpPr>
          <a:spLocks noChangeAspect="1"/>
        </xdr:cNvSpPr>
      </xdr:nvSpPr>
      <xdr:spPr>
        <a:xfrm>
          <a:off x="6200140" y="13235939"/>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50800</xdr:colOff>
      <xdr:row>77</xdr:row>
      <xdr:rowOff>15240</xdr:rowOff>
    </xdr:from>
    <xdr:to>
      <xdr:col>5</xdr:col>
      <xdr:colOff>187027</xdr:colOff>
      <xdr:row>77</xdr:row>
      <xdr:rowOff>152400</xdr:rowOff>
    </xdr:to>
    <xdr:sp macro="[0]!InfoClick" textlink="">
      <xdr:nvSpPr>
        <xdr:cNvPr id="25" name="OvalInfo_R_WATER">
          <a:extLst>
            <a:ext uri="{FF2B5EF4-FFF2-40B4-BE49-F238E27FC236}">
              <a16:creationId xmlns:a16="http://schemas.microsoft.com/office/drawing/2014/main" id="{17A7C613-8971-7E1A-71FD-84A9AFA54487}"/>
            </a:ext>
          </a:extLst>
        </xdr:cNvPr>
        <xdr:cNvSpPr>
          <a:spLocks noChangeAspect="1"/>
        </xdr:cNvSpPr>
      </xdr:nvSpPr>
      <xdr:spPr>
        <a:xfrm>
          <a:off x="6200140" y="1340358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6</xdr:col>
      <xdr:colOff>50800</xdr:colOff>
      <xdr:row>52</xdr:row>
      <xdr:rowOff>15240</xdr:rowOff>
    </xdr:from>
    <xdr:to>
      <xdr:col>6</xdr:col>
      <xdr:colOff>187027</xdr:colOff>
      <xdr:row>52</xdr:row>
      <xdr:rowOff>152400</xdr:rowOff>
    </xdr:to>
    <xdr:sp macro="[0]!InfoClick" textlink="">
      <xdr:nvSpPr>
        <xdr:cNvPr id="26" name="OvalInfo_R_NPV">
          <a:extLst>
            <a:ext uri="{FF2B5EF4-FFF2-40B4-BE49-F238E27FC236}">
              <a16:creationId xmlns:a16="http://schemas.microsoft.com/office/drawing/2014/main" id="{E95BA652-1FF6-1206-FA91-9D15B037DBF2}"/>
            </a:ext>
          </a:extLst>
        </xdr:cNvPr>
        <xdr:cNvSpPr>
          <a:spLocks noChangeAspect="1"/>
        </xdr:cNvSpPr>
      </xdr:nvSpPr>
      <xdr:spPr>
        <a:xfrm>
          <a:off x="7350760" y="918972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6</xdr:col>
      <xdr:colOff>50800</xdr:colOff>
      <xdr:row>53</xdr:row>
      <xdr:rowOff>15240</xdr:rowOff>
    </xdr:from>
    <xdr:to>
      <xdr:col>6</xdr:col>
      <xdr:colOff>187027</xdr:colOff>
      <xdr:row>53</xdr:row>
      <xdr:rowOff>152400</xdr:rowOff>
    </xdr:to>
    <xdr:sp macro="[0]!InfoClick" textlink="">
      <xdr:nvSpPr>
        <xdr:cNvPr id="27" name="OvalInfo_R_SIR">
          <a:extLst>
            <a:ext uri="{FF2B5EF4-FFF2-40B4-BE49-F238E27FC236}">
              <a16:creationId xmlns:a16="http://schemas.microsoft.com/office/drawing/2014/main" id="{7687CE20-7C02-64D0-D871-A18C4F7F4901}"/>
            </a:ext>
          </a:extLst>
        </xdr:cNvPr>
        <xdr:cNvSpPr>
          <a:spLocks noChangeAspect="1"/>
        </xdr:cNvSpPr>
      </xdr:nvSpPr>
      <xdr:spPr>
        <a:xfrm>
          <a:off x="7350760" y="935736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6</xdr:col>
      <xdr:colOff>50800</xdr:colOff>
      <xdr:row>54</xdr:row>
      <xdr:rowOff>15240</xdr:rowOff>
    </xdr:from>
    <xdr:to>
      <xdr:col>6</xdr:col>
      <xdr:colOff>187027</xdr:colOff>
      <xdr:row>54</xdr:row>
      <xdr:rowOff>152400</xdr:rowOff>
    </xdr:to>
    <xdr:sp macro="[0]!InfoClick" textlink="">
      <xdr:nvSpPr>
        <xdr:cNvPr id="28" name="OvalInfo_R_PAYBACK">
          <a:extLst>
            <a:ext uri="{FF2B5EF4-FFF2-40B4-BE49-F238E27FC236}">
              <a16:creationId xmlns:a16="http://schemas.microsoft.com/office/drawing/2014/main" id="{B6B020E3-9134-8A54-3F91-1745F1181553}"/>
            </a:ext>
          </a:extLst>
        </xdr:cNvPr>
        <xdr:cNvSpPr>
          <a:spLocks noChangeAspect="1"/>
        </xdr:cNvSpPr>
      </xdr:nvSpPr>
      <xdr:spPr>
        <a:xfrm>
          <a:off x="7350760" y="952500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0</xdr:colOff>
          <xdr:row>35</xdr:row>
          <xdr:rowOff>7620</xdr:rowOff>
        </xdr:from>
        <xdr:to>
          <xdr:col>2</xdr:col>
          <xdr:colOff>243840</xdr:colOff>
          <xdr:row>36</xdr:row>
          <xdr:rowOff>68580</xdr:rowOff>
        </xdr:to>
        <xdr:sp macro="" textlink="">
          <xdr:nvSpPr>
            <xdr:cNvPr id="1027" name="SpinButton1"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1287780</xdr:colOff>
      <xdr:row>20</xdr:row>
      <xdr:rowOff>123824</xdr:rowOff>
    </xdr:from>
    <xdr:to>
      <xdr:col>2</xdr:col>
      <xdr:colOff>3448050</xdr:colOff>
      <xdr:row>23</xdr:row>
      <xdr:rowOff>61911</xdr:rowOff>
    </xdr:to>
    <xdr:sp macro="" textlink="">
      <xdr:nvSpPr>
        <xdr:cNvPr id="2" name="Rounded Rectangle 1">
          <a:extLst>
            <a:ext uri="{FF2B5EF4-FFF2-40B4-BE49-F238E27FC236}">
              <a16:creationId xmlns:a16="http://schemas.microsoft.com/office/drawing/2014/main" id="{00000000-0008-0000-0400-000002000000}"/>
            </a:ext>
          </a:extLst>
        </xdr:cNvPr>
        <xdr:cNvSpPr/>
      </xdr:nvSpPr>
      <xdr:spPr bwMode="auto">
        <a:xfrm flipH="1">
          <a:off x="4278630" y="3695699"/>
          <a:ext cx="2160270" cy="452437"/>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rtl="0"/>
          <a:r>
            <a:rPr lang="en-US" sz="1100" b="1" i="0" baseline="0">
              <a:solidFill>
                <a:schemeClr val="lt1"/>
              </a:solidFill>
              <a:effectLst/>
              <a:latin typeface="Arial" panose="020B0604020202020204" pitchFamily="34" charset="0"/>
              <a:ea typeface="+mn-ea"/>
              <a:cs typeface="Arial" panose="020B0604020202020204" pitchFamily="34" charset="0"/>
            </a:rPr>
            <a:t>Hide InfoText</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7"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57F50EE-0F53-4A20-8309-8C3A69A1041E}">
  <we:reference id="wa104197352" version="1.0.0.9" store="en-US" storeType="OMEX"/>
  <we:alternateReferences>
    <we:reference id="wa104197352" version="1.0.0.9" store="wa10419735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8413F-6C55-4ED4-B438-35957F05297E}">
  <sheetPr codeName="Sheet53">
    <tabColor rgb="FFFF6600"/>
  </sheetPr>
  <dimension ref="A1:CJ102"/>
  <sheetViews>
    <sheetView showGridLines="0" showRowColHeaders="0" tabSelected="1" zoomScale="90" zoomScaleNormal="90" workbookViewId="0">
      <pane ySplit="3" topLeftCell="A4" activePane="bottomLeft" state="frozen"/>
      <selection activeCell="P18" sqref="P18"/>
      <selection pane="bottomLeft" activeCell="F6" sqref="F6"/>
    </sheetView>
  </sheetViews>
  <sheetFormatPr defaultColWidth="9.109375" defaultRowHeight="13.8"/>
  <cols>
    <col min="1" max="1" width="6.6640625" style="5" customWidth="1"/>
    <col min="2" max="2" width="9.109375" style="5"/>
    <col min="3" max="3" width="13.44140625" style="5" customWidth="1"/>
    <col min="4" max="4" width="9.109375" style="5"/>
    <col min="5" max="5" width="23.109375" style="5" customWidth="1"/>
    <col min="6" max="6" width="21.88671875" style="5" customWidth="1"/>
    <col min="7" max="7" width="12.44140625" style="5" customWidth="1"/>
    <col min="8" max="8" width="13.33203125" style="5" customWidth="1"/>
    <col min="9" max="9" width="15.5546875" style="133" customWidth="1"/>
    <col min="10" max="13" width="9.109375" style="133"/>
    <col min="14" max="14" width="7.5546875" style="133" customWidth="1"/>
    <col min="15" max="30" width="10.6640625" style="133" customWidth="1"/>
    <col min="31" max="88" width="9.109375" style="133"/>
    <col min="89" max="390" width="9.109375" style="5"/>
    <col min="391" max="391" width="5.6640625" style="5" customWidth="1"/>
    <col min="392" max="16384" width="9.109375" style="5"/>
  </cols>
  <sheetData>
    <row r="1" spans="1:88" s="1" customFormat="1" ht="20.25" customHeight="1">
      <c r="A1" s="5"/>
      <c r="I1" s="133"/>
      <c r="J1" s="133"/>
      <c r="K1" s="133"/>
      <c r="L1" s="133"/>
      <c r="M1" s="133"/>
      <c r="N1" s="133"/>
      <c r="O1" s="133"/>
      <c r="P1" s="133"/>
      <c r="Q1" s="133"/>
      <c r="R1" s="133"/>
      <c r="S1" s="133"/>
      <c r="T1" s="133"/>
      <c r="U1" s="133"/>
      <c r="V1" s="133"/>
      <c r="W1" s="133"/>
      <c r="X1" s="133"/>
      <c r="Y1" s="133"/>
      <c r="Z1" s="133"/>
      <c r="AA1" s="133"/>
      <c r="AB1" s="133"/>
      <c r="AC1" s="133"/>
      <c r="AD1" s="133"/>
      <c r="AE1" s="133"/>
      <c r="AF1" s="133"/>
      <c r="AG1" s="133"/>
      <c r="AH1" s="133"/>
      <c r="AI1" s="133"/>
      <c r="AJ1" s="133"/>
      <c r="AK1" s="133"/>
      <c r="AL1" s="133"/>
      <c r="AM1" s="133"/>
      <c r="AN1" s="133"/>
      <c r="AO1" s="133"/>
      <c r="AP1" s="133"/>
      <c r="AQ1" s="133"/>
      <c r="AR1" s="133"/>
      <c r="AS1" s="133"/>
      <c r="AT1" s="133"/>
      <c r="AU1" s="133"/>
      <c r="AV1" s="133"/>
      <c r="AW1" s="133"/>
      <c r="AX1" s="133"/>
      <c r="AY1" s="133"/>
      <c r="AZ1" s="133"/>
      <c r="BA1" s="133"/>
      <c r="BB1" s="133"/>
      <c r="BC1" s="133"/>
      <c r="BD1" s="133"/>
      <c r="BE1" s="133"/>
      <c r="BF1" s="133"/>
      <c r="BG1" s="133"/>
      <c r="BH1" s="133"/>
      <c r="BI1" s="133"/>
      <c r="BJ1" s="133"/>
      <c r="BK1" s="133"/>
      <c r="BL1" s="133"/>
      <c r="BM1" s="133"/>
      <c r="BN1" s="133"/>
      <c r="BO1" s="133"/>
      <c r="BP1" s="133"/>
      <c r="BQ1" s="133"/>
      <c r="BR1" s="133"/>
      <c r="BS1" s="133"/>
      <c r="BT1" s="133"/>
      <c r="BU1" s="133"/>
      <c r="BV1" s="133"/>
      <c r="BW1" s="133"/>
      <c r="BX1" s="133"/>
      <c r="BY1" s="133"/>
      <c r="BZ1" s="133"/>
      <c r="CA1" s="133"/>
      <c r="CB1" s="133"/>
      <c r="CC1" s="133"/>
      <c r="CD1" s="133"/>
      <c r="CE1" s="133"/>
      <c r="CF1" s="133"/>
      <c r="CG1" s="133"/>
      <c r="CH1" s="133"/>
      <c r="CI1" s="133"/>
      <c r="CJ1" s="133"/>
    </row>
    <row r="2" spans="1:88" s="1" customFormat="1">
      <c r="I2" s="133"/>
      <c r="J2" s="133"/>
      <c r="K2" s="133"/>
      <c r="L2" s="199"/>
      <c r="M2" s="200"/>
      <c r="N2" s="200"/>
      <c r="O2" s="133"/>
      <c r="P2" s="133"/>
      <c r="Q2" s="133"/>
      <c r="R2" s="133"/>
      <c r="S2" s="133"/>
      <c r="T2" s="133"/>
      <c r="U2" s="133"/>
      <c r="V2" s="133"/>
      <c r="W2" s="133"/>
      <c r="X2" s="133"/>
      <c r="Y2" s="133"/>
      <c r="Z2" s="133"/>
      <c r="AA2" s="133"/>
      <c r="AB2" s="133"/>
      <c r="AC2" s="133"/>
      <c r="AD2" s="133"/>
      <c r="AE2" s="133"/>
      <c r="AF2" s="133"/>
      <c r="AG2" s="133"/>
      <c r="AH2" s="133"/>
      <c r="AI2" s="133"/>
      <c r="AJ2" s="133"/>
      <c r="AK2" s="133"/>
      <c r="AL2" s="133"/>
      <c r="AM2" s="133"/>
      <c r="AN2" s="133"/>
      <c r="AO2" s="133"/>
      <c r="AP2" s="133"/>
      <c r="AQ2" s="133"/>
      <c r="AR2" s="133"/>
      <c r="AS2" s="133"/>
      <c r="AT2" s="133"/>
      <c r="AU2" s="133"/>
      <c r="AV2" s="133"/>
      <c r="AW2" s="133"/>
      <c r="AX2" s="133"/>
      <c r="AY2" s="133"/>
      <c r="AZ2" s="133"/>
      <c r="BA2" s="133"/>
      <c r="BB2" s="133"/>
      <c r="BC2" s="133"/>
      <c r="BD2" s="133"/>
      <c r="BE2" s="133"/>
      <c r="BF2" s="133"/>
      <c r="BG2" s="133"/>
      <c r="BH2" s="133"/>
      <c r="BI2" s="133"/>
      <c r="BJ2" s="133"/>
      <c r="BK2" s="133"/>
      <c r="BL2" s="133"/>
      <c r="BM2" s="133"/>
      <c r="BN2" s="133"/>
      <c r="BO2" s="133"/>
      <c r="BP2" s="133"/>
      <c r="BQ2" s="133"/>
      <c r="BR2" s="133"/>
      <c r="BS2" s="133"/>
      <c r="BT2" s="133"/>
      <c r="BU2" s="133"/>
      <c r="BV2" s="133"/>
      <c r="BW2" s="133"/>
      <c r="BX2" s="133"/>
      <c r="BY2" s="133"/>
      <c r="BZ2" s="133"/>
      <c r="CA2" s="133"/>
      <c r="CB2" s="133"/>
      <c r="CC2" s="133"/>
      <c r="CD2" s="133"/>
      <c r="CE2" s="133"/>
      <c r="CF2" s="133"/>
      <c r="CG2" s="133"/>
      <c r="CH2" s="133"/>
      <c r="CI2" s="133"/>
      <c r="CJ2" s="133"/>
    </row>
    <row r="3" spans="1:88" s="1" customFormat="1" ht="41.25" customHeight="1">
      <c r="I3" s="133"/>
      <c r="J3" s="133"/>
      <c r="K3" s="133"/>
      <c r="L3" s="199"/>
      <c r="M3" s="200"/>
      <c r="N3" s="200"/>
      <c r="O3" s="133"/>
      <c r="P3" s="133"/>
      <c r="Q3" s="133"/>
      <c r="R3" s="133"/>
      <c r="S3" s="133"/>
      <c r="T3" s="133"/>
      <c r="U3" s="133"/>
      <c r="V3" s="133"/>
      <c r="W3" s="133"/>
      <c r="X3" s="133"/>
      <c r="Y3" s="133"/>
      <c r="Z3" s="133"/>
      <c r="AA3" s="133"/>
      <c r="AB3" s="133"/>
      <c r="AC3" s="133"/>
      <c r="AD3" s="133"/>
      <c r="AE3" s="133"/>
      <c r="AF3" s="133"/>
      <c r="AG3" s="133"/>
      <c r="AH3" s="133"/>
      <c r="AI3" s="133"/>
      <c r="AJ3" s="133"/>
      <c r="AK3" s="133"/>
      <c r="AL3" s="133"/>
      <c r="AM3" s="133"/>
      <c r="AN3" s="133"/>
      <c r="AO3" s="133"/>
      <c r="AP3" s="133"/>
      <c r="AQ3" s="133"/>
      <c r="AR3" s="133"/>
      <c r="AS3" s="133"/>
      <c r="AT3" s="133"/>
      <c r="AU3" s="133"/>
      <c r="AV3" s="133"/>
      <c r="AW3" s="133"/>
      <c r="AX3" s="133"/>
      <c r="AY3" s="133"/>
      <c r="AZ3" s="133"/>
      <c r="BA3" s="133"/>
      <c r="BB3" s="133"/>
      <c r="BC3" s="133"/>
      <c r="BD3" s="133"/>
      <c r="BE3" s="133"/>
      <c r="BF3" s="133"/>
      <c r="BG3" s="133"/>
      <c r="BH3" s="133"/>
      <c r="BI3" s="133"/>
      <c r="BJ3" s="133"/>
      <c r="BK3" s="133"/>
      <c r="BL3" s="133"/>
      <c r="BM3" s="133"/>
      <c r="BN3" s="133"/>
      <c r="BO3" s="133"/>
      <c r="BP3" s="133"/>
      <c r="BQ3" s="133"/>
      <c r="BR3" s="133"/>
      <c r="BS3" s="133"/>
      <c r="BT3" s="133"/>
      <c r="BU3" s="133"/>
      <c r="BV3" s="133"/>
      <c r="BW3" s="133"/>
      <c r="BX3" s="133"/>
      <c r="BY3" s="133"/>
      <c r="BZ3" s="133"/>
      <c r="CA3" s="133"/>
      <c r="CB3" s="133"/>
      <c r="CC3" s="133"/>
      <c r="CD3" s="133"/>
      <c r="CE3" s="133"/>
      <c r="CF3" s="133"/>
      <c r="CG3" s="133"/>
      <c r="CH3" s="133"/>
      <c r="CI3" s="133"/>
      <c r="CJ3" s="133"/>
    </row>
    <row r="4" spans="1:88" s="1" customFormat="1" ht="36.6" customHeight="1">
      <c r="I4" s="157"/>
      <c r="J4" s="157"/>
      <c r="K4" s="157"/>
      <c r="L4" s="199"/>
      <c r="M4" s="200"/>
      <c r="N4" s="200"/>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3"/>
      <c r="AT4" s="133"/>
      <c r="AU4" s="133"/>
      <c r="AV4" s="133"/>
      <c r="AW4" s="133"/>
      <c r="AX4" s="133"/>
      <c r="AY4" s="133"/>
      <c r="AZ4" s="133"/>
      <c r="BA4" s="133"/>
      <c r="BB4" s="133"/>
      <c r="BC4" s="133"/>
      <c r="BD4" s="133"/>
      <c r="BE4" s="133"/>
      <c r="BF4" s="133"/>
      <c r="BG4" s="133"/>
      <c r="BH4" s="133"/>
      <c r="BI4" s="133"/>
      <c r="BJ4" s="133"/>
      <c r="BK4" s="133"/>
      <c r="BL4" s="133"/>
      <c r="BM4" s="133"/>
      <c r="BN4" s="133"/>
      <c r="BO4" s="133"/>
      <c r="BP4" s="133"/>
      <c r="BQ4" s="133"/>
      <c r="BR4" s="133"/>
      <c r="BS4" s="133"/>
      <c r="BT4" s="133"/>
      <c r="BU4" s="133"/>
      <c r="BV4" s="133"/>
      <c r="BW4" s="133"/>
      <c r="BX4" s="133"/>
      <c r="BY4" s="133"/>
      <c r="BZ4" s="133"/>
      <c r="CA4" s="133"/>
      <c r="CB4" s="133"/>
      <c r="CC4" s="133"/>
      <c r="CD4" s="133"/>
      <c r="CE4" s="133"/>
      <c r="CF4" s="133"/>
      <c r="CG4" s="133"/>
      <c r="CH4" s="133"/>
      <c r="CI4" s="133"/>
      <c r="CJ4" s="133"/>
    </row>
    <row r="5" spans="1:88" s="1" customFormat="1" ht="13.8" customHeight="1">
      <c r="B5" s="310" t="str">
        <f>Tr("LANGUAGE_LABEL","Language")</f>
        <v>Language</v>
      </c>
      <c r="C5" s="310"/>
      <c r="D5" s="310"/>
      <c r="E5" s="310"/>
      <c r="F5" s="213" t="s">
        <v>312</v>
      </c>
      <c r="G5" s="212"/>
      <c r="I5" s="157"/>
      <c r="J5" s="157"/>
      <c r="K5" s="157"/>
      <c r="L5" s="199"/>
      <c r="M5" s="200"/>
      <c r="N5" s="200"/>
      <c r="O5" s="133"/>
      <c r="P5" s="133"/>
      <c r="Q5" s="133"/>
      <c r="R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c r="CB5" s="133"/>
      <c r="CC5" s="133"/>
      <c r="CD5" s="133"/>
      <c r="CE5" s="133"/>
      <c r="CF5" s="133"/>
      <c r="CG5" s="133"/>
      <c r="CH5" s="133"/>
      <c r="CI5" s="133"/>
      <c r="CJ5" s="133"/>
    </row>
    <row r="6" spans="1:88" s="1" customFormat="1" ht="13.8" customHeight="1">
      <c r="B6" s="311" t="str">
        <f>Tr("UNITS_LABEL","Units")</f>
        <v>Units</v>
      </c>
      <c r="C6" s="311"/>
      <c r="D6" s="311"/>
      <c r="E6" s="311"/>
      <c r="F6" s="213" t="s">
        <v>980</v>
      </c>
      <c r="G6" s="212"/>
      <c r="I6" s="157"/>
      <c r="J6" s="157"/>
      <c r="K6" s="157"/>
      <c r="L6" s="199"/>
      <c r="M6" s="200"/>
      <c r="N6" s="200"/>
      <c r="O6" s="133"/>
      <c r="P6" s="133"/>
      <c r="Q6" s="133"/>
      <c r="R6" s="133"/>
      <c r="S6" s="133"/>
      <c r="T6" s="133"/>
      <c r="U6" s="133"/>
      <c r="V6" s="133"/>
      <c r="W6" s="133"/>
      <c r="X6" s="133"/>
      <c r="Y6" s="133"/>
      <c r="Z6" s="133"/>
      <c r="AA6" s="133"/>
      <c r="AB6" s="133"/>
      <c r="AC6" s="133"/>
      <c r="AD6" s="133"/>
      <c r="AE6" s="133"/>
      <c r="AF6" s="133"/>
      <c r="AG6" s="133"/>
      <c r="AH6" s="133"/>
      <c r="AI6" s="133"/>
      <c r="AJ6" s="133"/>
      <c r="AK6" s="133"/>
      <c r="AL6" s="133"/>
      <c r="AM6" s="133"/>
      <c r="AN6" s="133"/>
      <c r="AO6" s="133"/>
      <c r="AP6" s="133"/>
      <c r="AQ6" s="133"/>
      <c r="AR6" s="133"/>
      <c r="AS6" s="133"/>
      <c r="AT6" s="133"/>
      <c r="AU6" s="133"/>
      <c r="AV6" s="133"/>
      <c r="AW6" s="133"/>
      <c r="AX6" s="133"/>
      <c r="AY6" s="133"/>
      <c r="AZ6" s="133"/>
      <c r="BA6" s="133"/>
      <c r="BB6" s="133"/>
      <c r="BC6" s="133"/>
      <c r="BD6" s="133"/>
      <c r="BE6" s="133"/>
      <c r="BF6" s="133"/>
      <c r="BG6" s="133"/>
      <c r="BH6" s="133"/>
      <c r="BI6" s="133"/>
      <c r="BJ6" s="133"/>
      <c r="BK6" s="133"/>
      <c r="BL6" s="133"/>
      <c r="BM6" s="133"/>
      <c r="BN6" s="133"/>
      <c r="BO6" s="133"/>
      <c r="BP6" s="133"/>
      <c r="BQ6" s="133"/>
      <c r="BR6" s="133"/>
      <c r="BS6" s="133"/>
      <c r="BT6" s="133"/>
      <c r="BU6" s="133"/>
      <c r="BV6" s="133"/>
      <c r="BW6" s="133"/>
      <c r="BX6" s="133"/>
      <c r="BY6" s="133"/>
      <c r="BZ6" s="133"/>
      <c r="CA6" s="133"/>
      <c r="CB6" s="133"/>
      <c r="CC6" s="133"/>
      <c r="CD6" s="133"/>
      <c r="CE6" s="133"/>
      <c r="CF6" s="133"/>
      <c r="CG6" s="133"/>
      <c r="CH6" s="133"/>
      <c r="CI6" s="133"/>
      <c r="CJ6" s="133"/>
    </row>
    <row r="7" spans="1:88" s="1" customFormat="1" ht="13.8" customHeight="1">
      <c r="I7" s="157"/>
      <c r="J7" s="157"/>
      <c r="K7" s="157"/>
      <c r="L7" s="199"/>
      <c r="M7" s="200"/>
      <c r="N7" s="200"/>
      <c r="O7" s="133"/>
      <c r="P7" s="133"/>
      <c r="Q7" s="133"/>
      <c r="R7" s="133"/>
      <c r="S7" s="133"/>
      <c r="T7" s="133"/>
      <c r="U7" s="133"/>
      <c r="V7" s="133"/>
      <c r="W7" s="133"/>
      <c r="X7" s="133"/>
      <c r="Y7" s="133"/>
      <c r="Z7" s="133"/>
      <c r="AA7" s="133"/>
      <c r="AB7" s="133"/>
      <c r="AC7" s="133"/>
      <c r="AD7" s="133"/>
      <c r="AE7" s="133"/>
      <c r="AF7" s="133"/>
      <c r="AG7" s="133"/>
      <c r="AH7" s="133"/>
      <c r="AI7" s="133"/>
      <c r="AJ7" s="133"/>
      <c r="AK7" s="133"/>
      <c r="AL7" s="133"/>
      <c r="AM7" s="133"/>
      <c r="AN7" s="133"/>
      <c r="AO7" s="133"/>
      <c r="AP7" s="133"/>
      <c r="AQ7" s="133"/>
      <c r="AR7" s="133"/>
      <c r="AS7" s="133"/>
      <c r="AT7" s="133"/>
      <c r="AU7" s="133"/>
      <c r="AV7" s="133"/>
      <c r="AW7" s="133"/>
      <c r="AX7" s="133"/>
      <c r="AY7" s="133"/>
      <c r="AZ7" s="133"/>
      <c r="BA7" s="133"/>
      <c r="BB7" s="133"/>
      <c r="BC7" s="133"/>
      <c r="BD7" s="133"/>
      <c r="BE7" s="133"/>
      <c r="BF7" s="133"/>
      <c r="BG7" s="133"/>
      <c r="BH7" s="133"/>
      <c r="BI7" s="133"/>
      <c r="BJ7" s="133"/>
      <c r="BK7" s="133"/>
      <c r="BL7" s="133"/>
      <c r="BM7" s="133"/>
      <c r="BN7" s="133"/>
      <c r="BO7" s="133"/>
      <c r="BP7" s="133"/>
      <c r="BQ7" s="133"/>
      <c r="BR7" s="133"/>
      <c r="BS7" s="133"/>
      <c r="BT7" s="133"/>
      <c r="BU7" s="133"/>
      <c r="BV7" s="133"/>
      <c r="BW7" s="133"/>
      <c r="BX7" s="133"/>
      <c r="BY7" s="133"/>
      <c r="BZ7" s="133"/>
      <c r="CA7" s="133"/>
      <c r="CB7" s="133"/>
      <c r="CC7" s="133"/>
      <c r="CD7" s="133"/>
      <c r="CE7" s="133"/>
      <c r="CF7" s="133"/>
      <c r="CG7" s="133"/>
      <c r="CH7" s="133"/>
      <c r="CI7" s="133"/>
      <c r="CJ7" s="133"/>
    </row>
    <row r="8" spans="1:88" s="1" customFormat="1" ht="21" customHeight="1">
      <c r="I8" s="157"/>
      <c r="J8" s="157"/>
      <c r="K8" s="157"/>
      <c r="L8" s="133"/>
      <c r="M8" s="133"/>
      <c r="N8" s="133"/>
      <c r="O8" s="133"/>
      <c r="P8" s="133"/>
      <c r="Q8" s="133"/>
      <c r="R8" s="133"/>
      <c r="S8" s="133"/>
      <c r="T8" s="133"/>
      <c r="U8" s="133"/>
      <c r="V8" s="133"/>
      <c r="W8" s="133"/>
      <c r="X8" s="133"/>
      <c r="Y8" s="133"/>
      <c r="Z8" s="133"/>
      <c r="AA8" s="133"/>
      <c r="AB8" s="133"/>
      <c r="AC8" s="133"/>
      <c r="AD8" s="133"/>
      <c r="AE8" s="133"/>
      <c r="AF8" s="133"/>
      <c r="AG8" s="133"/>
      <c r="AH8" s="133"/>
      <c r="AI8" s="133"/>
      <c r="AJ8" s="133"/>
      <c r="AK8" s="133"/>
      <c r="AL8" s="133"/>
      <c r="AM8" s="133"/>
      <c r="AN8" s="133"/>
      <c r="AO8" s="133"/>
      <c r="AP8" s="133"/>
      <c r="AQ8" s="133"/>
      <c r="AR8" s="133"/>
      <c r="AS8" s="133"/>
      <c r="AT8" s="133"/>
      <c r="AU8" s="133"/>
      <c r="AV8" s="133"/>
      <c r="AW8" s="133"/>
      <c r="AX8" s="133"/>
      <c r="AY8" s="133"/>
      <c r="AZ8" s="133"/>
      <c r="BA8" s="133"/>
      <c r="BB8" s="133"/>
      <c r="BC8" s="133"/>
      <c r="BD8" s="133"/>
      <c r="BE8" s="133"/>
      <c r="BF8" s="133"/>
      <c r="BG8" s="133"/>
      <c r="BH8" s="133"/>
      <c r="BI8" s="133"/>
      <c r="BJ8" s="133"/>
      <c r="BK8" s="133"/>
      <c r="BL8" s="133"/>
      <c r="BM8" s="133"/>
      <c r="BN8" s="133"/>
      <c r="BO8" s="133"/>
      <c r="BP8" s="133"/>
      <c r="BQ8" s="133"/>
      <c r="BR8" s="133"/>
      <c r="BS8" s="133"/>
      <c r="BT8" s="133"/>
      <c r="BU8" s="133"/>
      <c r="BV8" s="133"/>
      <c r="BW8" s="133"/>
      <c r="BX8" s="133"/>
      <c r="BY8" s="133"/>
      <c r="BZ8" s="133"/>
      <c r="CA8" s="133"/>
      <c r="CB8" s="133"/>
      <c r="CC8" s="133"/>
      <c r="CD8" s="133"/>
      <c r="CE8" s="133"/>
      <c r="CF8" s="133"/>
      <c r="CG8" s="133"/>
      <c r="CH8" s="133"/>
      <c r="CI8" s="133"/>
      <c r="CJ8" s="133"/>
    </row>
    <row r="9" spans="1:88" s="1" customFormat="1" ht="30" customHeight="1">
      <c r="F9" s="2" t="str">
        <f>Tr("COIL_VALUE_HDR","Value")</f>
        <v>Value</v>
      </c>
      <c r="G9" s="2" t="str">
        <f>Tr("COIL_UNIT_HDR","Unit")</f>
        <v>Unit</v>
      </c>
      <c r="I9" s="157"/>
      <c r="J9" s="157"/>
      <c r="K9" s="157"/>
      <c r="L9" s="133"/>
      <c r="M9" s="133"/>
      <c r="N9" s="133"/>
      <c r="O9" s="133"/>
      <c r="P9" s="133"/>
      <c r="Q9" s="133"/>
      <c r="R9" s="133"/>
      <c r="S9" s="133"/>
      <c r="T9" s="133"/>
      <c r="U9" s="133"/>
      <c r="V9" s="133"/>
      <c r="W9" s="133"/>
      <c r="X9" s="133"/>
      <c r="Y9" s="133"/>
      <c r="Z9" s="133"/>
      <c r="AA9" s="133"/>
      <c r="AB9" s="133"/>
      <c r="AC9" s="133"/>
      <c r="AD9" s="133"/>
      <c r="AE9" s="133"/>
      <c r="AF9" s="133"/>
      <c r="AG9" s="133"/>
      <c r="AH9" s="133"/>
      <c r="AI9" s="133"/>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c r="BM9" s="133"/>
      <c r="BN9" s="133"/>
      <c r="BO9" s="133"/>
      <c r="BP9" s="133"/>
      <c r="BQ9" s="133"/>
      <c r="BR9" s="133"/>
      <c r="BS9" s="133"/>
      <c r="BT9" s="133"/>
      <c r="BU9" s="133"/>
      <c r="BV9" s="133"/>
      <c r="BW9" s="133"/>
      <c r="BX9" s="133"/>
      <c r="BY9" s="133"/>
      <c r="BZ9" s="133"/>
      <c r="CA9" s="133"/>
      <c r="CB9" s="133"/>
      <c r="CC9" s="133"/>
      <c r="CD9" s="133"/>
      <c r="CE9" s="133"/>
      <c r="CF9" s="133"/>
      <c r="CG9" s="133"/>
      <c r="CH9" s="133"/>
      <c r="CI9" s="133"/>
      <c r="CJ9" s="133"/>
    </row>
    <row r="10" spans="1:88">
      <c r="A10" s="1"/>
      <c r="B10" s="297" t="str">
        <f>Tr("ELECTRICITY_COST_AVG","Electricity Cost (Average)")</f>
        <v>Electricity Cost (Average)</v>
      </c>
      <c r="C10" s="298"/>
      <c r="D10" s="298"/>
      <c r="E10" s="299"/>
      <c r="F10" s="3">
        <v>0.1</v>
      </c>
      <c r="G10" s="4" t="s">
        <v>3</v>
      </c>
      <c r="H10" s="1"/>
      <c r="I10" s="157"/>
      <c r="J10" s="157"/>
      <c r="K10" s="157"/>
    </row>
    <row r="11" spans="1:88">
      <c r="A11" s="1"/>
      <c r="B11" s="101" t="str">
        <f>Tr("DESIGN_COIL_LOAD","Design Coil Load ")</f>
        <v>Design Coil Load</v>
      </c>
      <c r="C11" s="6"/>
      <c r="D11" s="6"/>
      <c r="E11" s="6"/>
      <c r="F11" s="344">
        <v>310</v>
      </c>
      <c r="G11" s="8" t="str">
        <f>UnitText("FLOW")</f>
        <v>GPM</v>
      </c>
      <c r="H11" s="1"/>
      <c r="I11" s="157"/>
      <c r="J11" s="157"/>
      <c r="K11" s="157"/>
    </row>
    <row r="12" spans="1:88">
      <c r="A12" s="1"/>
      <c r="B12" s="9" t="str">
        <f>Tr("NUMBER_OF_COILS","Number Of Coils")</f>
        <v>Number Of Coils</v>
      </c>
      <c r="C12" s="10"/>
      <c r="D12" s="10"/>
      <c r="E12" s="10"/>
      <c r="F12" s="155">
        <v>1</v>
      </c>
      <c r="G12" s="11" t="str">
        <f>Tr("UNIT_PCS","pcs.")</f>
        <v>pcs.</v>
      </c>
      <c r="H12" s="1"/>
      <c r="I12" s="157"/>
      <c r="J12" s="157"/>
      <c r="K12" s="157"/>
    </row>
    <row r="13" spans="1:88">
      <c r="A13" s="1"/>
      <c r="B13" s="12" t="str">
        <f>Tr("OPERATING_HOURS_DAY","Operating Hours / Day")</f>
        <v>Operating Hours / Day</v>
      </c>
      <c r="C13" s="13"/>
      <c r="D13" s="13"/>
      <c r="E13" s="13"/>
      <c r="F13" s="7">
        <v>20</v>
      </c>
      <c r="G13" s="14" t="str">
        <f>Tr("UNIT_HOURS","hours")</f>
        <v>hours</v>
      </c>
      <c r="H13" s="1"/>
      <c r="I13" s="157"/>
      <c r="J13" s="157"/>
      <c r="K13" s="157"/>
    </row>
    <row r="14" spans="1:88">
      <c r="A14" s="1"/>
      <c r="B14" s="12" t="str">
        <f>Tr("OPERATING_DAYS_WEEK","Operating Days / Week")</f>
        <v>Operating Days / Week</v>
      </c>
      <c r="C14" s="13"/>
      <c r="D14" s="13"/>
      <c r="E14" s="13"/>
      <c r="F14" s="7">
        <v>6</v>
      </c>
      <c r="G14" s="8" t="str">
        <f>Tr("UNIT_DAYS","days")</f>
        <v>days</v>
      </c>
      <c r="H14" s="1"/>
      <c r="I14" s="157"/>
      <c r="J14" s="157"/>
      <c r="K14" s="157"/>
    </row>
    <row r="15" spans="1:88">
      <c r="A15" s="1"/>
      <c r="B15" s="12" t="str">
        <f>Tr("OPERATING_WEEKS_YEAR","Operating Weeks / Year")</f>
        <v>Operating Weeks / Year</v>
      </c>
      <c r="C15" s="13"/>
      <c r="D15" s="13"/>
      <c r="E15" s="13"/>
      <c r="F15" s="7">
        <v>52</v>
      </c>
      <c r="G15" s="8" t="str">
        <f>Tr("UNIT_WEEKS","weeks")</f>
        <v>weeks</v>
      </c>
      <c r="H15" s="1"/>
      <c r="I15" s="157"/>
      <c r="J15" s="157"/>
      <c r="K15" s="157"/>
    </row>
    <row r="16" spans="1:88" s="18" customFormat="1">
      <c r="A16" s="1"/>
      <c r="B16" s="9" t="str">
        <f>Tr("ACTUAL_PRIMARY_PUMP_HEAD","Actual Primary Pump Head (Design)")</f>
        <v>Actual Primary Pump Head (Design)</v>
      </c>
      <c r="C16" s="10"/>
      <c r="D16" s="10"/>
      <c r="E16" s="10"/>
      <c r="F16" s="345">
        <v>30</v>
      </c>
      <c r="G16" s="8" t="str">
        <f>UnitText("HEAD")</f>
        <v>ft.</v>
      </c>
      <c r="H16" s="2"/>
      <c r="I16" s="158"/>
      <c r="J16" s="158"/>
      <c r="K16" s="158"/>
      <c r="L16" s="134"/>
      <c r="M16" s="134"/>
      <c r="N16" s="134"/>
      <c r="O16" s="134"/>
      <c r="P16" s="134"/>
      <c r="Q16" s="134"/>
      <c r="R16" s="134"/>
      <c r="S16" s="134"/>
      <c r="T16" s="134"/>
      <c r="U16" s="134"/>
      <c r="V16" s="134"/>
      <c r="W16" s="134"/>
      <c r="X16" s="134"/>
      <c r="Y16" s="134"/>
      <c r="Z16" s="134"/>
      <c r="AA16" s="134"/>
      <c r="AB16" s="134"/>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134"/>
      <c r="BB16" s="134"/>
      <c r="BC16" s="134"/>
      <c r="BD16" s="134"/>
      <c r="BE16" s="134"/>
      <c r="BF16" s="134"/>
      <c r="BG16" s="134"/>
      <c r="BH16" s="134"/>
      <c r="BI16" s="134"/>
      <c r="BJ16" s="134"/>
      <c r="BK16" s="134"/>
      <c r="BL16" s="134"/>
      <c r="BM16" s="134"/>
      <c r="BN16" s="134"/>
      <c r="BO16" s="134"/>
      <c r="BP16" s="134"/>
      <c r="BQ16" s="134"/>
      <c r="BR16" s="134"/>
      <c r="BS16" s="134"/>
      <c r="BT16" s="134"/>
      <c r="BU16" s="134"/>
      <c r="BV16" s="134"/>
      <c r="BW16" s="134"/>
      <c r="BX16" s="134"/>
      <c r="BY16" s="134"/>
      <c r="BZ16" s="134"/>
      <c r="CA16" s="134"/>
      <c r="CB16" s="134"/>
      <c r="CC16" s="134"/>
      <c r="CD16" s="134"/>
      <c r="CE16" s="134"/>
      <c r="CF16" s="134"/>
      <c r="CG16" s="134"/>
      <c r="CH16" s="134"/>
      <c r="CI16" s="134"/>
      <c r="CJ16" s="134"/>
    </row>
    <row r="17" spans="1:88">
      <c r="A17" s="2"/>
      <c r="B17" s="15" t="str">
        <f>Tr("PUMP_VFD_MOTOR_EFFICIENCY","Pump, VFD, Motor Efficiency (Average)")</f>
        <v>Pump, VFD, Motor Efficiency (Average)</v>
      </c>
      <c r="C17" s="16"/>
      <c r="D17" s="16"/>
      <c r="E17" s="16"/>
      <c r="F17" s="7">
        <v>70</v>
      </c>
      <c r="G17" s="17" t="s">
        <v>11</v>
      </c>
      <c r="H17" s="1"/>
      <c r="I17" s="157"/>
      <c r="J17" s="157"/>
      <c r="K17" s="157"/>
    </row>
    <row r="18" spans="1:88">
      <c r="A18" s="1"/>
      <c r="B18" s="102" t="str">
        <f>Tr("DESIGN_DELTA_T","Design Delta T")</f>
        <v>Design Delta T</v>
      </c>
      <c r="C18" s="16"/>
      <c r="D18" s="16"/>
      <c r="E18" s="16"/>
      <c r="F18" s="344">
        <v>12</v>
      </c>
      <c r="G18" s="8" t="str">
        <f>UnitText("DELTA")</f>
        <v>°F</v>
      </c>
      <c r="H18" s="1"/>
      <c r="I18" s="157"/>
      <c r="J18" s="157"/>
      <c r="K18" s="157"/>
    </row>
    <row r="19" spans="1:88">
      <c r="A19" s="1"/>
      <c r="B19" s="15" t="str">
        <f>Tr("ACTUAL_DELTA_T","Actual Delta T (Prior To Energy Valve Installation)")</f>
        <v>Actual Delta T (Prior To Energy Valve Installation)</v>
      </c>
      <c r="C19" s="16"/>
      <c r="D19" s="16"/>
      <c r="E19" s="16"/>
      <c r="F19" s="345">
        <v>6</v>
      </c>
      <c r="G19" s="8" t="str">
        <f>UnitText("DELTA")</f>
        <v>°F</v>
      </c>
      <c r="H19" s="1"/>
      <c r="I19" s="157"/>
      <c r="J19" s="157"/>
      <c r="K19" s="157"/>
    </row>
    <row r="20" spans="1:88">
      <c r="A20" s="1"/>
      <c r="B20" s="19" t="str">
        <f>Tr("FUTURE_DELTA_T","Future Delta T (Energy Valve Delta T Manager Setting)")</f>
        <v>Future Delta T (Energy Valve Delta T Manager Setting)</v>
      </c>
      <c r="C20" s="20"/>
      <c r="D20" s="20"/>
      <c r="E20" s="20"/>
      <c r="F20" s="346">
        <v>12</v>
      </c>
      <c r="G20" s="21" t="str">
        <f>UnitText("DELTA")</f>
        <v>°F</v>
      </c>
      <c r="H20" s="1"/>
      <c r="I20" s="157"/>
      <c r="J20" s="157"/>
      <c r="K20" s="157"/>
    </row>
    <row r="21" spans="1:88">
      <c r="A21" s="1"/>
      <c r="B21" s="141"/>
      <c r="C21" s="142"/>
      <c r="D21" s="142"/>
      <c r="E21" s="142"/>
      <c r="F21" s="143"/>
      <c r="G21" s="144"/>
      <c r="H21" s="1"/>
      <c r="I21" s="157"/>
      <c r="J21" s="157"/>
      <c r="K21" s="157"/>
    </row>
    <row r="22" spans="1:88">
      <c r="A22" s="1"/>
      <c r="B22" s="141"/>
      <c r="C22" s="142"/>
      <c r="D22" s="142"/>
      <c r="E22" s="142"/>
      <c r="F22" s="143"/>
      <c r="G22" s="144"/>
      <c r="H22" s="1"/>
      <c r="I22" s="157"/>
      <c r="J22" s="157"/>
      <c r="K22" s="157"/>
    </row>
    <row r="23" spans="1:88">
      <c r="A23" s="1"/>
      <c r="B23" s="141"/>
      <c r="C23" s="142"/>
      <c r="D23" s="142"/>
      <c r="E23" s="142"/>
      <c r="F23" s="143"/>
      <c r="G23" s="144"/>
      <c r="H23" s="1"/>
      <c r="I23" s="157"/>
      <c r="J23" s="157"/>
      <c r="K23" s="157"/>
    </row>
    <row r="24" spans="1:88">
      <c r="A24" s="1"/>
      <c r="B24" s="141"/>
      <c r="C24" s="142"/>
      <c r="D24" s="142"/>
      <c r="E24" s="142"/>
      <c r="F24" s="143"/>
      <c r="G24" s="144"/>
      <c r="H24" s="1"/>
      <c r="I24" s="157"/>
      <c r="J24" s="157"/>
      <c r="K24" s="157"/>
    </row>
    <row r="25" spans="1:88">
      <c r="A25" s="1"/>
      <c r="B25" s="1"/>
      <c r="C25" s="1"/>
      <c r="D25" s="1"/>
      <c r="E25" s="1"/>
      <c r="F25" s="1"/>
      <c r="G25" s="1"/>
      <c r="H25" s="1"/>
      <c r="I25" s="157"/>
      <c r="J25" s="157"/>
      <c r="K25" s="157"/>
    </row>
    <row r="26" spans="1:88">
      <c r="A26" s="1"/>
      <c r="B26" s="22" t="str">
        <f>Tr("OPERATING_HOURS_DAY_S","Operating Hours / Day")</f>
        <v>Operating Hours / Day</v>
      </c>
      <c r="C26" s="23"/>
      <c r="D26" s="23">
        <f>F13</f>
        <v>20</v>
      </c>
      <c r="E26" s="23" t="str">
        <f>Tr("UNIT_HOURS","hours")</f>
        <v>hours</v>
      </c>
      <c r="F26" s="1"/>
      <c r="G26" s="24" t="str">
        <f>Tr("EDITABLE_FIELD","Editable Field")</f>
        <v>Editable Field</v>
      </c>
      <c r="H26" s="1"/>
      <c r="I26" s="157"/>
      <c r="J26" s="157"/>
      <c r="K26" s="157"/>
    </row>
    <row r="27" spans="1:88">
      <c r="A27" s="1"/>
      <c r="B27" s="22" t="str">
        <f>Tr("OPERATING_DAYS_WEEK_S","Operating Days / Week")</f>
        <v>Operating Days / Week</v>
      </c>
      <c r="C27" s="23"/>
      <c r="D27" s="23">
        <f>F14</f>
        <v>6</v>
      </c>
      <c r="E27" s="25" t="str">
        <f>Tr("UNIT_DAYS","days")</f>
        <v>days</v>
      </c>
      <c r="F27" s="1"/>
      <c r="G27" s="26" t="str">
        <f>Tr("LABEL_WORD","Label")</f>
        <v>Label</v>
      </c>
      <c r="H27" s="1"/>
      <c r="I27" s="157"/>
      <c r="J27" s="157"/>
      <c r="K27" s="157"/>
      <c r="N27" s="133" t="s">
        <v>52</v>
      </c>
    </row>
    <row r="28" spans="1:88">
      <c r="A28" s="1"/>
      <c r="B28" s="22" t="str">
        <f>Tr("OPERATING_WEEKS_YEAR_S","Operating Weeks / Year")</f>
        <v>Operating Weeks / Year</v>
      </c>
      <c r="C28" s="23"/>
      <c r="D28" s="23">
        <f>F15</f>
        <v>52</v>
      </c>
      <c r="E28" s="107" t="str">
        <f>Tr("UNIT_WEEKS","weeks")</f>
        <v>weeks</v>
      </c>
      <c r="F28" s="1"/>
      <c r="G28" s="1"/>
      <c r="H28" s="1"/>
      <c r="I28" s="157"/>
      <c r="J28" s="157"/>
      <c r="K28" s="157"/>
    </row>
    <row r="29" spans="1:88">
      <c r="A29" s="1"/>
      <c r="B29" s="27" t="str">
        <f>Tr("ANNUAL_OPERATING_HOURS_S","Annual Operating Hours")</f>
        <v>Annual Operating Hours</v>
      </c>
      <c r="C29" s="23"/>
      <c r="D29" s="23">
        <f>(D26*D27)*D28*G56</f>
        <v>5496.5976408912193</v>
      </c>
      <c r="E29" s="23" t="str">
        <f>Tr("UNIT_HOURS","hours")</f>
        <v>hours</v>
      </c>
      <c r="F29" s="1"/>
      <c r="G29" s="1"/>
      <c r="H29" s="1"/>
      <c r="I29" s="157"/>
      <c r="J29" s="157"/>
      <c r="K29" s="157"/>
    </row>
    <row r="30" spans="1:88" s="18" customFormat="1" ht="15" customHeight="1">
      <c r="A30" s="1"/>
      <c r="B30" s="300" t="str">
        <f>Tr("CLIMATE_REGION","Climate Region")</f>
        <v>Climate Region</v>
      </c>
      <c r="C30" s="300"/>
      <c r="D30" s="28"/>
      <c r="E30" s="131" t="s">
        <v>18</v>
      </c>
      <c r="F30" s="1"/>
      <c r="G30" s="1"/>
      <c r="H30" s="1"/>
      <c r="I30" s="157"/>
      <c r="J30" s="157"/>
      <c r="K30" s="157"/>
      <c r="L30" s="133"/>
      <c r="M30" s="133"/>
      <c r="N30" s="133"/>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c r="BE30" s="134"/>
      <c r="BF30" s="134"/>
      <c r="BG30" s="134"/>
      <c r="BH30" s="134"/>
      <c r="BI30" s="134"/>
      <c r="BJ30" s="134"/>
      <c r="BK30" s="134"/>
      <c r="BL30" s="134"/>
      <c r="BM30" s="134"/>
      <c r="BN30" s="134"/>
      <c r="BO30" s="134"/>
      <c r="BP30" s="134"/>
      <c r="BQ30" s="134"/>
      <c r="BR30" s="134"/>
      <c r="BS30" s="134"/>
      <c r="BT30" s="134"/>
      <c r="BU30" s="134"/>
      <c r="BV30" s="134"/>
      <c r="BW30" s="134"/>
      <c r="BX30" s="134"/>
      <c r="BY30" s="134"/>
      <c r="BZ30" s="134"/>
      <c r="CA30" s="134"/>
      <c r="CB30" s="134"/>
      <c r="CC30" s="134"/>
      <c r="CD30" s="134"/>
      <c r="CE30" s="134"/>
      <c r="CF30" s="134"/>
      <c r="CG30" s="134"/>
      <c r="CH30" s="134"/>
      <c r="CI30" s="134"/>
      <c r="CJ30" s="134"/>
    </row>
    <row r="31" spans="1:88" s="18" customFormat="1">
      <c r="A31" s="2"/>
      <c r="B31" s="145"/>
      <c r="C31" s="1"/>
      <c r="D31" s="1"/>
      <c r="E31" s="1"/>
      <c r="F31" s="1"/>
      <c r="G31" s="1"/>
      <c r="H31" s="2"/>
      <c r="I31" s="158"/>
      <c r="J31" s="158"/>
      <c r="K31" s="158"/>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c r="BE31" s="134"/>
      <c r="BF31" s="134"/>
      <c r="BG31" s="134"/>
      <c r="BH31" s="134"/>
      <c r="BI31" s="134"/>
      <c r="BJ31" s="134"/>
      <c r="BK31" s="134"/>
      <c r="BL31" s="134"/>
      <c r="BM31" s="134"/>
      <c r="BN31" s="134"/>
      <c r="BO31" s="134"/>
      <c r="BP31" s="134"/>
      <c r="BQ31" s="134"/>
      <c r="BR31" s="134"/>
      <c r="BS31" s="134"/>
      <c r="BT31" s="134"/>
      <c r="BU31" s="134"/>
      <c r="BV31" s="134"/>
      <c r="BW31" s="134"/>
      <c r="BX31" s="134"/>
      <c r="BY31" s="134"/>
      <c r="BZ31" s="134"/>
      <c r="CA31" s="134"/>
      <c r="CB31" s="134"/>
      <c r="CC31" s="134"/>
      <c r="CD31" s="134"/>
      <c r="CE31" s="134"/>
      <c r="CF31" s="134"/>
      <c r="CG31" s="134"/>
      <c r="CH31" s="134"/>
      <c r="CI31" s="134"/>
      <c r="CJ31" s="134"/>
    </row>
    <row r="32" spans="1:88" ht="30" customHeight="1">
      <c r="A32" s="2"/>
      <c r="B32" s="293" t="str">
        <f>Tr("POINT_WORD","Point")</f>
        <v>Point</v>
      </c>
      <c r="C32" s="293" t="str">
        <f>Tr("BIN_WORD","Bin")</f>
        <v>Bin</v>
      </c>
      <c r="D32" s="293" t="str">
        <f>Tr("LOAD_WORD","Load")</f>
        <v>Load</v>
      </c>
      <c r="E32" s="293" t="str">
        <f>Tr("PCT_OF_OPERATING_TIME","% of Operating Time")</f>
        <v>% of Operating Time</v>
      </c>
      <c r="F32" s="293" t="str">
        <f>Tr("OPERATING_HOURS_HDR","Operating Hours")</f>
        <v>Operating Hours</v>
      </c>
      <c r="G32" s="294"/>
      <c r="H32" s="1"/>
      <c r="I32" s="157"/>
      <c r="J32" s="157"/>
      <c r="K32" s="157"/>
    </row>
    <row r="33" spans="1:14">
      <c r="A33" s="1"/>
      <c r="B33" s="23" t="s">
        <v>24</v>
      </c>
      <c r="C33" s="23" t="str">
        <f>Tr("BIN_DESIGN","Design")</f>
        <v>Design</v>
      </c>
      <c r="D33" s="30">
        <v>1</v>
      </c>
      <c r="E33" s="31">
        <v>0.25</v>
      </c>
      <c r="F33" s="23">
        <f>$D$29*E33</f>
        <v>1374.1494102228048</v>
      </c>
      <c r="G33" s="1"/>
      <c r="H33" s="1"/>
      <c r="I33" s="157"/>
      <c r="J33" s="157"/>
      <c r="K33" s="157"/>
    </row>
    <row r="34" spans="1:14">
      <c r="A34" s="1"/>
      <c r="B34" s="23" t="s">
        <v>26</v>
      </c>
      <c r="C34" s="23" t="str">
        <f>Tr("BIN_PEAK","Peak")</f>
        <v>Peak</v>
      </c>
      <c r="D34" s="30">
        <v>0.75</v>
      </c>
      <c r="E34" s="31">
        <v>0.5</v>
      </c>
      <c r="F34" s="23">
        <f>$D$29*E34</f>
        <v>2748.2988204456096</v>
      </c>
      <c r="G34" s="1"/>
      <c r="H34" s="1"/>
      <c r="I34" s="157"/>
      <c r="J34" s="157"/>
      <c r="K34" s="157"/>
    </row>
    <row r="35" spans="1:14">
      <c r="A35" s="1"/>
      <c r="B35" s="23" t="s">
        <v>28</v>
      </c>
      <c r="C35" s="23" t="str">
        <f>Tr("BIN_LOW","Low")</f>
        <v>Low</v>
      </c>
      <c r="D35" s="30">
        <v>0.5</v>
      </c>
      <c r="E35" s="31">
        <v>0.25</v>
      </c>
      <c r="F35" s="23">
        <f>$D$29*E35</f>
        <v>1374.1494102228048</v>
      </c>
      <c r="G35" s="1"/>
      <c r="H35" s="1"/>
      <c r="I35" s="157"/>
      <c r="J35" s="157"/>
      <c r="K35" s="157"/>
    </row>
    <row r="36" spans="1:14" ht="14.4" thickBot="1">
      <c r="A36" s="1"/>
      <c r="B36" s="23" t="s">
        <v>30</v>
      </c>
      <c r="C36" s="23" t="str">
        <f>Tr("BIN_MIN","Min")</f>
        <v>Min</v>
      </c>
      <c r="D36" s="30">
        <v>0.25</v>
      </c>
      <c r="E36" s="164">
        <f>1-SUM(E33:E35)</f>
        <v>0</v>
      </c>
      <c r="F36" s="23">
        <f>$D$29*E36</f>
        <v>0</v>
      </c>
      <c r="G36" s="1"/>
      <c r="H36" s="1"/>
      <c r="I36" s="157"/>
      <c r="J36" s="157"/>
      <c r="K36" s="157"/>
    </row>
    <row r="37" spans="1:14" ht="15" thickTop="1" thickBot="1">
      <c r="A37" s="1"/>
      <c r="B37" s="1"/>
      <c r="C37" s="1"/>
      <c r="D37" s="1"/>
      <c r="E37" s="165">
        <f>IF(ROUND(E36,6)&lt;0,"Error, must = 100%",SUM(E33:E36))</f>
        <v>1</v>
      </c>
      <c r="F37" s="32">
        <f>SUM(F33:F36)</f>
        <v>5496.5976408912193</v>
      </c>
      <c r="G37" s="1"/>
      <c r="H37" s="1"/>
      <c r="I37" s="157"/>
      <c r="J37" s="157"/>
      <c r="K37" s="157"/>
    </row>
    <row r="38" spans="1:14" ht="15">
      <c r="A38" s="1"/>
      <c r="B38" s="1"/>
      <c r="C38" s="1"/>
      <c r="D38" s="1"/>
      <c r="E38" s="1"/>
      <c r="F38" s="1"/>
      <c r="G38" s="1"/>
      <c r="H38" s="1"/>
      <c r="I38" s="157"/>
      <c r="J38" s="157"/>
      <c r="K38" s="159"/>
      <c r="L38" s="135"/>
    </row>
    <row r="39" spans="1:14">
      <c r="A39" s="1"/>
      <c r="B39" s="301"/>
      <c r="C39" s="301"/>
      <c r="D39" s="301"/>
      <c r="E39" s="138"/>
      <c r="F39" s="139"/>
      <c r="G39" s="1"/>
      <c r="H39" s="1"/>
      <c r="I39" s="157"/>
      <c r="J39" s="157"/>
      <c r="K39" s="160"/>
      <c r="L39" s="135"/>
    </row>
    <row r="40" spans="1:14">
      <c r="A40" s="1"/>
      <c r="B40" s="1"/>
      <c r="C40" s="1"/>
      <c r="D40" s="1"/>
      <c r="E40" s="1"/>
      <c r="F40" s="1"/>
      <c r="G40" s="1"/>
      <c r="H40" s="2"/>
      <c r="I40" s="158"/>
      <c r="J40" s="158"/>
      <c r="K40" s="161"/>
      <c r="L40" s="136"/>
      <c r="M40" s="134"/>
      <c r="N40" s="134"/>
    </row>
    <row r="41" spans="1:14">
      <c r="A41" s="1"/>
      <c r="B41" s="71"/>
      <c r="C41" s="71"/>
      <c r="D41" s="71"/>
      <c r="E41" s="302" t="str">
        <f>Tr("COOLING_DEGREE_DAYS","Cooling Degree Days")</f>
        <v>Cooling Degree Days</v>
      </c>
      <c r="F41" s="302" t="str">
        <f>Tr("HUMIDITY_ADJUSTMENT","Humidity Adjustment")</f>
        <v>Humidity Adjustment</v>
      </c>
      <c r="G41" s="308" t="str">
        <f>Tr("MULTIPLIER_WORD","Multiplier")</f>
        <v>Multiplier</v>
      </c>
      <c r="H41" s="2"/>
      <c r="I41" s="158"/>
      <c r="J41" s="158"/>
      <c r="K41" s="161"/>
      <c r="L41" s="136"/>
      <c r="M41" s="134"/>
      <c r="N41" s="134"/>
    </row>
    <row r="42" spans="1:14">
      <c r="A42" s="1"/>
      <c r="B42" s="309" t="str">
        <f>Tr("CLIMATE_REGION","Climate Region")</f>
        <v>Climate Region</v>
      </c>
      <c r="C42" s="309"/>
      <c r="D42" s="309"/>
      <c r="E42" s="303"/>
      <c r="F42" s="303"/>
      <c r="G42" s="308"/>
      <c r="H42" s="1"/>
      <c r="I42" s="157"/>
      <c r="J42" s="157"/>
      <c r="K42" s="160"/>
      <c r="L42" s="135"/>
    </row>
    <row r="43" spans="1:14">
      <c r="A43" s="1"/>
      <c r="B43" s="313" t="str">
        <f>Tr("REGION_NORTH_EAST","North East")</f>
        <v>North East</v>
      </c>
      <c r="C43" s="314"/>
      <c r="D43" s="315"/>
      <c r="E43" s="34">
        <v>1034</v>
      </c>
      <c r="F43" s="35">
        <v>0.3</v>
      </c>
      <c r="G43" s="36">
        <f t="shared" ref="G43:G54" si="0">MIN(1,E43/$E$54*(1+F43))</f>
        <v>0.88086500655307998</v>
      </c>
      <c r="H43" s="1"/>
      <c r="I43" s="157"/>
      <c r="J43" s="157"/>
      <c r="K43" s="160"/>
      <c r="L43" s="135"/>
    </row>
    <row r="44" spans="1:14">
      <c r="A44" s="1"/>
      <c r="B44" s="313" t="str">
        <f>Tr("REGION_CENTRAL","Central")</f>
        <v>Central</v>
      </c>
      <c r="C44" s="314"/>
      <c r="D44" s="315"/>
      <c r="E44" s="25">
        <v>1090</v>
      </c>
      <c r="F44" s="35">
        <v>0.3</v>
      </c>
      <c r="G44" s="36">
        <f t="shared" si="0"/>
        <v>0.9285714285714286</v>
      </c>
      <c r="H44" s="1"/>
      <c r="I44" s="157"/>
      <c r="J44" s="157"/>
      <c r="K44" s="160"/>
      <c r="L44" s="135"/>
    </row>
    <row r="45" spans="1:14">
      <c r="A45" s="1"/>
      <c r="B45" s="313" t="str">
        <f>Tr("REGION_EAST_NORTH_CENTRAL","East North Central")</f>
        <v>East North Central</v>
      </c>
      <c r="C45" s="314"/>
      <c r="D45" s="315"/>
      <c r="E45" s="25">
        <v>975</v>
      </c>
      <c r="F45" s="37">
        <v>0.3</v>
      </c>
      <c r="G45" s="36">
        <f t="shared" si="0"/>
        <v>0.83060288335517696</v>
      </c>
      <c r="H45" s="1"/>
      <c r="I45" s="157"/>
      <c r="J45" s="157"/>
      <c r="K45" s="160"/>
      <c r="L45" s="135"/>
    </row>
    <row r="46" spans="1:14">
      <c r="A46" s="1"/>
      <c r="B46" s="313" t="str">
        <f>Tr("REGION_WEST_NORTH_CENTRAL","West North Central")</f>
        <v>West North Central</v>
      </c>
      <c r="C46" s="314"/>
      <c r="D46" s="315"/>
      <c r="E46" s="25">
        <v>1123</v>
      </c>
      <c r="F46" s="38">
        <v>0.15</v>
      </c>
      <c r="G46" s="36">
        <f t="shared" si="0"/>
        <v>0.84629750982961982</v>
      </c>
      <c r="H46" s="140"/>
      <c r="I46" s="157"/>
      <c r="J46" s="157"/>
      <c r="K46" s="160"/>
      <c r="L46" s="135"/>
    </row>
    <row r="47" spans="1:14">
      <c r="A47" s="1"/>
      <c r="B47" s="313" t="str">
        <f>Tr("REGION_SOUTH_EAST","South East")</f>
        <v>South East</v>
      </c>
      <c r="C47" s="314"/>
      <c r="D47" s="315"/>
      <c r="E47" s="25">
        <v>2264</v>
      </c>
      <c r="F47" s="38">
        <v>0.3</v>
      </c>
      <c r="G47" s="36">
        <f t="shared" si="0"/>
        <v>1</v>
      </c>
      <c r="H47" s="1"/>
      <c r="I47" s="157"/>
      <c r="J47" s="157"/>
      <c r="K47" s="160"/>
      <c r="L47" s="135"/>
    </row>
    <row r="48" spans="1:14">
      <c r="A48" s="1"/>
      <c r="B48" s="313" t="str">
        <f>Tr("REGION_SOUTH","South")</f>
        <v>South</v>
      </c>
      <c r="C48" s="314"/>
      <c r="D48" s="315"/>
      <c r="E48" s="25">
        <v>2004</v>
      </c>
      <c r="F48" s="38">
        <v>0.3</v>
      </c>
      <c r="G48" s="36">
        <f t="shared" si="0"/>
        <v>1</v>
      </c>
      <c r="H48" s="1"/>
      <c r="I48" s="157"/>
      <c r="J48" s="157"/>
      <c r="K48" s="160"/>
      <c r="L48" s="135"/>
    </row>
    <row r="49" spans="1:12">
      <c r="A49" s="1"/>
      <c r="B49" s="313" t="str">
        <f>Tr("REGION_SOUTH_WEST","South West ")</f>
        <v>South West</v>
      </c>
      <c r="C49" s="314"/>
      <c r="D49" s="315"/>
      <c r="E49" s="25">
        <v>2750</v>
      </c>
      <c r="F49" s="38">
        <v>0.05</v>
      </c>
      <c r="G49" s="36">
        <f t="shared" si="0"/>
        <v>1</v>
      </c>
      <c r="H49" s="1"/>
      <c r="I49" s="157"/>
      <c r="J49" s="157"/>
      <c r="K49" s="160"/>
      <c r="L49" s="135"/>
    </row>
    <row r="50" spans="1:12">
      <c r="A50" s="1"/>
      <c r="B50" s="313" t="str">
        <f>Tr("REGION_MOUNTAIN","Mountain")</f>
        <v>Mountain</v>
      </c>
      <c r="C50" s="314"/>
      <c r="D50" s="315"/>
      <c r="E50" s="39">
        <v>1450</v>
      </c>
      <c r="F50" s="35">
        <v>0.05</v>
      </c>
      <c r="G50" s="36">
        <f t="shared" si="0"/>
        <v>0.99770642201834869</v>
      </c>
      <c r="H50" s="1"/>
      <c r="I50" s="157"/>
      <c r="J50" s="157"/>
      <c r="K50" s="160"/>
      <c r="L50" s="135"/>
    </row>
    <row r="51" spans="1:12">
      <c r="A51" s="1"/>
      <c r="B51" s="313" t="str">
        <f>Tr("REGION_NORTH_WEST","North West")</f>
        <v>North West</v>
      </c>
      <c r="C51" s="314"/>
      <c r="D51" s="315"/>
      <c r="E51" s="25">
        <v>720</v>
      </c>
      <c r="F51" s="35">
        <v>0.05</v>
      </c>
      <c r="G51" s="36">
        <f t="shared" si="0"/>
        <v>0.49541284403669728</v>
      </c>
      <c r="H51" s="1"/>
      <c r="I51" s="157"/>
      <c r="J51" s="157"/>
      <c r="K51" s="160"/>
      <c r="L51" s="135"/>
    </row>
    <row r="52" spans="1:12">
      <c r="A52" s="1"/>
      <c r="B52" s="313" t="str">
        <f>Tr("REGION_WEST","West  ")</f>
        <v>West</v>
      </c>
      <c r="C52" s="314"/>
      <c r="D52" s="315"/>
      <c r="E52" s="25">
        <v>1850</v>
      </c>
      <c r="F52" s="40">
        <v>0.05</v>
      </c>
      <c r="G52" s="41">
        <f t="shared" si="0"/>
        <v>1</v>
      </c>
      <c r="H52" s="1"/>
      <c r="I52" s="157"/>
      <c r="J52" s="157"/>
      <c r="K52" s="160"/>
      <c r="L52" s="135"/>
    </row>
    <row r="53" spans="1:12" ht="14.4" thickBot="1">
      <c r="A53" s="1"/>
      <c r="B53" t="str">
        <f>Tr("REGION_CUSTOM","Custom Region")</f>
        <v>Custom Region</v>
      </c>
      <c r="C53"/>
      <c r="D53"/>
      <c r="E53" s="42">
        <v>800</v>
      </c>
      <c r="F53" s="43">
        <v>1E-3</v>
      </c>
      <c r="G53" s="44">
        <f t="shared" si="0"/>
        <v>0.52477064220183478</v>
      </c>
      <c r="H53" s="1"/>
      <c r="I53" s="157"/>
      <c r="J53" s="157"/>
      <c r="K53" s="160"/>
      <c r="L53" s="135"/>
    </row>
    <row r="54" spans="1:12" ht="15" thickTop="1" thickBot="1">
      <c r="A54" s="1"/>
      <c r="B54" s="304" t="str">
        <f>Tr("REGION_AVERAGE_US","Average US")</f>
        <v>Average US</v>
      </c>
      <c r="C54" s="305"/>
      <c r="D54" s="306"/>
      <c r="E54" s="32">
        <f>SUM(E43:E52)/10</f>
        <v>1526</v>
      </c>
      <c r="F54" s="45">
        <f>SUM(F43:F52)/10</f>
        <v>0.185</v>
      </c>
      <c r="G54" s="46">
        <f t="shared" si="0"/>
        <v>1</v>
      </c>
      <c r="H54" s="1"/>
      <c r="I54" s="157"/>
      <c r="J54" s="157"/>
      <c r="K54" s="160"/>
    </row>
    <row r="55" spans="1:12">
      <c r="A55" s="1"/>
      <c r="B55" s="1"/>
      <c r="C55" s="1"/>
      <c r="D55" s="1"/>
      <c r="E55" s="1"/>
      <c r="F55" s="1"/>
      <c r="G55" s="1"/>
      <c r="H55" s="1"/>
      <c r="I55" s="157"/>
      <c r="J55" s="157"/>
      <c r="K55" s="157"/>
    </row>
    <row r="56" spans="1:12">
      <c r="A56" s="1"/>
      <c r="B56" s="312"/>
      <c r="C56" s="312"/>
      <c r="D56" s="137"/>
      <c r="E56" s="137"/>
      <c r="F56" s="156" t="str">
        <f>Tr("SELECTED_VALUE","Selected Value")</f>
        <v>Selected Value</v>
      </c>
      <c r="G56" s="154">
        <f>VLOOKUP(E30,B:G,6,FALSE)</f>
        <v>0.88086500655307998</v>
      </c>
      <c r="H56" s="1"/>
      <c r="I56" s="157"/>
      <c r="J56" s="157"/>
      <c r="K56" s="157"/>
    </row>
    <row r="57" spans="1:12">
      <c r="A57" s="1"/>
      <c r="B57" s="1"/>
      <c r="C57" s="1"/>
      <c r="D57" s="1"/>
      <c r="E57" s="1"/>
      <c r="F57" s="1"/>
      <c r="G57" s="1"/>
      <c r="H57" s="1"/>
      <c r="I57" s="157"/>
      <c r="J57" s="157"/>
      <c r="K57" s="157"/>
    </row>
    <row r="58" spans="1:12">
      <c r="A58" s="1"/>
      <c r="B58" s="1"/>
      <c r="C58" s="1"/>
      <c r="D58" s="1"/>
      <c r="E58" s="1"/>
      <c r="F58" s="1"/>
      <c r="G58" s="1"/>
      <c r="H58" s="1"/>
      <c r="I58" s="157"/>
      <c r="J58" s="157"/>
      <c r="K58" s="157"/>
    </row>
    <row r="59" spans="1:12">
      <c r="A59" s="1"/>
      <c r="B59" s="1"/>
      <c r="C59" s="1"/>
      <c r="D59" s="1"/>
      <c r="E59" s="1"/>
      <c r="F59" s="1"/>
      <c r="G59" s="1"/>
      <c r="H59" s="1"/>
      <c r="I59" s="157"/>
      <c r="J59" s="157"/>
      <c r="K59" s="157"/>
    </row>
    <row r="60" spans="1:12">
      <c r="A60" s="1"/>
      <c r="B60" s="1"/>
      <c r="C60" s="1"/>
      <c r="D60" s="1"/>
      <c r="E60" s="1"/>
      <c r="F60" s="1"/>
      <c r="G60" s="1"/>
      <c r="H60" s="1"/>
      <c r="I60" s="157"/>
      <c r="J60" s="157"/>
      <c r="K60" s="157"/>
    </row>
    <row r="61" spans="1:12">
      <c r="A61" s="1"/>
      <c r="B61" s="1"/>
      <c r="C61" s="1"/>
      <c r="D61" s="1"/>
      <c r="E61" s="1"/>
      <c r="F61" s="1"/>
      <c r="G61" s="1"/>
      <c r="H61" s="1"/>
      <c r="I61" s="157"/>
      <c r="J61" s="157"/>
      <c r="K61" s="157"/>
    </row>
    <row r="62" spans="1:12">
      <c r="A62" s="1"/>
      <c r="B62" s="307" t="str">
        <f>Tr("INVESTMENT_COST_LABEL","Investment Cost (Energy Valve + Installation)")</f>
        <v>Investment Cost (Energy Valve + Installation)</v>
      </c>
      <c r="C62" s="307"/>
      <c r="D62" s="307"/>
      <c r="E62" s="307"/>
      <c r="F62" s="201">
        <v>4000</v>
      </c>
      <c r="G62" s="202" t="s">
        <v>692</v>
      </c>
      <c r="H62" s="203"/>
      <c r="I62" s="157"/>
      <c r="J62" s="157"/>
      <c r="K62" s="157"/>
    </row>
    <row r="63" spans="1:12">
      <c r="A63" s="1"/>
      <c r="B63" s="307" t="str">
        <f>Tr("DISCOUNT_RATE_LABEL","Discount Rate")</f>
        <v>Discount Rate</v>
      </c>
      <c r="C63" s="307"/>
      <c r="D63" s="307"/>
      <c r="E63" s="203"/>
      <c r="F63" s="204">
        <v>0.04</v>
      </c>
      <c r="G63" s="214" t="s">
        <v>11</v>
      </c>
      <c r="H63" s="203"/>
      <c r="I63" s="157"/>
      <c r="J63" s="157"/>
      <c r="K63" s="157"/>
    </row>
    <row r="64" spans="1:12">
      <c r="A64" s="1"/>
      <c r="B64" s="256" t="str">
        <f>Tr("REBATE_MEASURE_LIFE","Estimated Measure Life")</f>
        <v>Estimated Measure Life</v>
      </c>
      <c r="C64" s="203"/>
      <c r="D64" s="203"/>
      <c r="E64" s="203"/>
      <c r="F64" s="257">
        <v>15</v>
      </c>
      <c r="G64" s="258" t="str">
        <f>Tr("YEARS_WORD","years")</f>
        <v>years</v>
      </c>
      <c r="H64" s="203"/>
      <c r="I64" s="157"/>
      <c r="J64" s="157"/>
      <c r="K64" s="157"/>
    </row>
    <row r="65" spans="1:11">
      <c r="A65" s="1"/>
      <c r="B65" s="203"/>
      <c r="C65" s="206"/>
      <c r="D65" s="206"/>
      <c r="E65" s="207" t="str">
        <f>"5 "&amp;Tr("YEARS_WORD","years")</f>
        <v>5 years</v>
      </c>
      <c r="F65" s="207" t="str">
        <f>"10 "&amp;Tr("YEARS_WORD","years")</f>
        <v>10 years</v>
      </c>
      <c r="G65" s="207" t="str">
        <f>"15 "&amp;Tr("YEARS_WORD","years")</f>
        <v>15 years</v>
      </c>
      <c r="H65" s="207" t="str">
        <f>"20 "&amp;Tr("YEARS_WORD","years")</f>
        <v>20 years</v>
      </c>
      <c r="I65" s="157"/>
      <c r="J65" s="157"/>
      <c r="K65" s="157"/>
    </row>
    <row r="66" spans="1:11">
      <c r="A66" s="1"/>
      <c r="B66" s="307" t="str">
        <f>Tr("NPV_LABEL","Net Present Value (NPV)")</f>
        <v>Net Present Value (NPV)</v>
      </c>
      <c r="C66" s="307"/>
      <c r="D66" s="307"/>
      <c r="E66" s="208">
        <f>-$F$62+Results!$E$28*IF($F$63=0,5,(1-(1+$F$63)^-5)/$F$63)</f>
        <v>3487.9802987676776</v>
      </c>
      <c r="F66" s="208">
        <f>-$F$62+Results!$E$28*IF($F$63=0,10,(1-(1+$F$63)^-10)/$F$63)</f>
        <v>9642.554281204817</v>
      </c>
      <c r="G66" s="208">
        <f>-$F$62+Results!$E$28*IF($F$63=0,15,(1-(1+$F$63)^-15)/$F$63)</f>
        <v>14701.165467925755</v>
      </c>
      <c r="H66" s="208">
        <f>-$F$62+Results!$E$28*IF($F$63=0,20,(1-(1+$F$63)^-20)/$F$63)</f>
        <v>18858.975124847784</v>
      </c>
      <c r="I66" s="157"/>
      <c r="J66" s="157"/>
      <c r="K66" s="157"/>
    </row>
    <row r="67" spans="1:11">
      <c r="A67" s="1"/>
      <c r="B67" s="307" t="str">
        <f>Tr("SIR_LABEL","Savings-Investment Ratio (SIR)")</f>
        <v>Savings-Investment Ratio (SIR)</v>
      </c>
      <c r="C67" s="307"/>
      <c r="D67" s="307"/>
      <c r="E67" s="209">
        <f>IFERROR((Results!$E$28*IF($F$63=0,5,(1-(1+$F$63)^-5)/$F$63))/$F$62,"")</f>
        <v>1.8719950746919194</v>
      </c>
      <c r="F67" s="209">
        <f>IFERROR((Results!$E$28*IF($F$63=0,10,(1-(1+$F$63)^-10)/$F$63))/$F$62,"")</f>
        <v>3.4106385703012041</v>
      </c>
      <c r="G67" s="209">
        <f>IFERROR((Results!$E$28*IF($F$63=0,15,(1-(1+$F$63)^-15)/$F$63))/$F$62,"")</f>
        <v>4.6752913669814387</v>
      </c>
      <c r="H67" s="209">
        <f>IFERROR((Results!$E$28*IF($F$63=0,20,(1-(1+$F$63)^-20)/$F$63))/$F$62,"")</f>
        <v>5.7147437812119461</v>
      </c>
      <c r="I67" s="157"/>
      <c r="J67" s="157"/>
      <c r="K67" s="157"/>
    </row>
    <row r="68" spans="1:11">
      <c r="A68" s="1"/>
      <c r="B68" s="307" t="str">
        <f>Tr("SIMPLE_PAYBACK_LABEL","Simple Payback Period")</f>
        <v>Simple Payback Period</v>
      </c>
      <c r="C68" s="307"/>
      <c r="D68" s="307"/>
      <c r="E68" s="202" t="str">
        <f>IF($F$62=0,"",IFERROR(TEXT($F$62/Results!$E$28,"0.0")&amp;" "&amp;Tr("YEARS_WORD","years"),""))</f>
        <v>2.4 years</v>
      </c>
      <c r="F68" s="205"/>
      <c r="G68" s="205"/>
      <c r="H68" s="205"/>
      <c r="I68" s="1"/>
      <c r="J68" s="1"/>
      <c r="K68" s="1"/>
    </row>
    <row r="69" spans="1:11">
      <c r="A69" s="1"/>
      <c r="B69" s="1"/>
      <c r="C69" s="1"/>
      <c r="D69" s="1"/>
      <c r="E69" s="1"/>
      <c r="F69" s="1"/>
      <c r="G69" s="1"/>
      <c r="H69" s="1"/>
      <c r="I69" s="1"/>
      <c r="J69" s="1"/>
      <c r="K69" s="1"/>
    </row>
    <row r="70" spans="1:11">
      <c r="A70" s="1"/>
      <c r="B70" s="1"/>
      <c r="C70" s="1"/>
      <c r="D70" s="1"/>
      <c r="E70" s="1"/>
      <c r="F70" s="1"/>
      <c r="G70" s="1"/>
      <c r="H70" s="1"/>
      <c r="I70" s="1"/>
      <c r="J70" s="1"/>
      <c r="K70" s="1"/>
    </row>
    <row r="71" spans="1:11">
      <c r="A71" s="1"/>
      <c r="B71" s="1"/>
      <c r="C71" s="1"/>
      <c r="D71" s="1"/>
      <c r="E71" s="1"/>
      <c r="F71" s="1"/>
      <c r="G71" s="1"/>
      <c r="H71" s="1"/>
      <c r="I71" s="1"/>
      <c r="J71" s="1"/>
      <c r="K71" s="1"/>
    </row>
    <row r="72" spans="1:11">
      <c r="A72" s="1"/>
      <c r="B72" s="1"/>
      <c r="C72" s="1"/>
      <c r="D72" s="1"/>
      <c r="E72" s="1"/>
      <c r="F72" s="1"/>
      <c r="G72" s="1"/>
      <c r="H72" s="1"/>
      <c r="I72" s="211"/>
      <c r="J72" s="211"/>
      <c r="K72" s="211"/>
    </row>
    <row r="73" spans="1:11">
      <c r="A73" s="1"/>
      <c r="B73" s="1"/>
      <c r="C73" s="1"/>
      <c r="D73" s="1"/>
      <c r="E73" s="1"/>
      <c r="F73" s="1"/>
      <c r="G73" s="1"/>
      <c r="H73" s="1"/>
      <c r="I73" s="211"/>
      <c r="J73" s="211"/>
      <c r="K73" s="211"/>
    </row>
    <row r="74" spans="1:11">
      <c r="A74" s="1"/>
      <c r="B74" s="1"/>
      <c r="C74" s="1"/>
      <c r="D74" s="1"/>
      <c r="E74" s="1"/>
      <c r="F74" s="1"/>
      <c r="G74" s="1"/>
      <c r="H74" s="1"/>
      <c r="I74" s="1"/>
      <c r="J74" s="1"/>
      <c r="K74" s="1"/>
    </row>
    <row r="75" spans="1:11">
      <c r="A75" s="1"/>
      <c r="B75" s="1"/>
      <c r="C75" s="1"/>
      <c r="D75" s="1"/>
      <c r="E75" s="1"/>
      <c r="F75" s="1"/>
      <c r="G75" s="1"/>
      <c r="H75" s="1"/>
      <c r="I75" s="1"/>
      <c r="J75" s="1"/>
      <c r="K75" s="1"/>
    </row>
    <row r="76" spans="1:11">
      <c r="A76" s="1"/>
      <c r="B76" s="1"/>
      <c r="C76" s="1"/>
      <c r="D76" s="1"/>
      <c r="E76" s="1"/>
      <c r="F76" s="1"/>
      <c r="G76" s="1"/>
      <c r="H76" s="1"/>
      <c r="I76" s="1"/>
      <c r="J76" s="1"/>
      <c r="K76" s="1"/>
    </row>
    <row r="77" spans="1:11">
      <c r="A77" s="1"/>
      <c r="B77" s="1"/>
      <c r="C77" s="1"/>
      <c r="D77" s="1"/>
      <c r="E77" s="1"/>
      <c r="F77" s="1"/>
      <c r="G77" s="1"/>
      <c r="H77" s="1"/>
      <c r="I77" s="1"/>
      <c r="J77" s="1"/>
      <c r="K77" s="1"/>
    </row>
    <row r="78" spans="1:11">
      <c r="A78" s="1"/>
      <c r="B78" s="1"/>
      <c r="C78" s="1"/>
      <c r="D78" s="1"/>
      <c r="E78" s="1"/>
      <c r="F78" s="210"/>
      <c r="G78" s="1"/>
      <c r="H78" s="1"/>
      <c r="I78" s="1"/>
      <c r="J78" s="1"/>
      <c r="K78" s="1"/>
    </row>
    <row r="79" spans="1:11">
      <c r="A79" s="1"/>
      <c r="B79" s="1"/>
      <c r="C79" s="1"/>
      <c r="D79" s="1"/>
      <c r="E79" s="1"/>
      <c r="F79" s="1"/>
      <c r="G79" s="1"/>
      <c r="H79" s="1"/>
      <c r="I79" s="1"/>
      <c r="J79" s="1"/>
      <c r="K79" s="1"/>
    </row>
    <row r="80" spans="1:11">
      <c r="A80" s="1"/>
      <c r="B80" s="1"/>
      <c r="C80" s="1"/>
      <c r="D80" s="1"/>
      <c r="E80" s="1"/>
      <c r="F80" s="1"/>
      <c r="G80" s="1"/>
      <c r="H80" s="1"/>
      <c r="I80" s="1"/>
      <c r="J80" s="1"/>
      <c r="K80" s="1"/>
    </row>
    <row r="81" spans="1:11">
      <c r="A81" s="1"/>
      <c r="B81" s="1"/>
      <c r="C81" s="1"/>
      <c r="D81" s="1"/>
      <c r="E81" s="1"/>
      <c r="F81" s="1"/>
      <c r="G81" s="1"/>
      <c r="H81" s="1"/>
      <c r="I81" s="1"/>
      <c r="J81" s="1"/>
      <c r="K81" s="1"/>
    </row>
    <row r="82" spans="1:11">
      <c r="A82" s="1"/>
      <c r="B82" s="1"/>
      <c r="C82" s="1"/>
      <c r="D82" s="1"/>
      <c r="E82" s="1"/>
      <c r="F82" s="1"/>
      <c r="G82" s="1"/>
      <c r="H82" s="1"/>
      <c r="I82" s="1"/>
      <c r="J82" s="1"/>
      <c r="K82" s="1"/>
    </row>
    <row r="83" spans="1:11">
      <c r="A83" s="1"/>
      <c r="B83" s="1"/>
      <c r="C83" s="1"/>
      <c r="D83" s="1"/>
      <c r="E83" s="1"/>
      <c r="F83" s="1"/>
      <c r="G83" s="1"/>
      <c r="H83" s="1"/>
      <c r="I83" s="1"/>
      <c r="J83" s="1"/>
      <c r="K83" s="1"/>
    </row>
    <row r="84" spans="1:11">
      <c r="A84" s="1"/>
      <c r="B84" s="1"/>
      <c r="C84" s="1"/>
      <c r="D84" s="1"/>
      <c r="E84" s="1"/>
      <c r="F84" s="1"/>
      <c r="G84" s="1"/>
      <c r="H84" s="1"/>
      <c r="I84" s="1"/>
      <c r="J84" s="1"/>
      <c r="K84" s="1"/>
    </row>
    <row r="85" spans="1:11">
      <c r="A85" s="1"/>
      <c r="B85" s="1"/>
      <c r="C85" s="1"/>
      <c r="D85" s="1"/>
      <c r="E85" s="1"/>
      <c r="F85" s="1"/>
      <c r="G85" s="1"/>
      <c r="H85" s="1"/>
      <c r="I85" s="1"/>
      <c r="J85" s="1"/>
      <c r="K85" s="1"/>
    </row>
    <row r="86" spans="1:11">
      <c r="A86" s="1"/>
      <c r="B86" s="1"/>
      <c r="C86" s="1"/>
      <c r="D86" s="1"/>
      <c r="E86" s="1"/>
      <c r="F86" s="1"/>
      <c r="G86" s="1"/>
      <c r="H86" s="1"/>
      <c r="I86" s="1"/>
      <c r="J86" s="1"/>
      <c r="K86" s="1"/>
    </row>
    <row r="87" spans="1:11">
      <c r="A87" s="1"/>
      <c r="B87" s="1"/>
      <c r="C87" s="1"/>
      <c r="D87" s="1"/>
      <c r="E87" s="1"/>
      <c r="F87" s="1"/>
      <c r="G87" s="1"/>
      <c r="H87" s="1"/>
      <c r="I87" s="1"/>
      <c r="J87" s="1"/>
      <c r="K87" s="1"/>
    </row>
    <row r="88" spans="1:11">
      <c r="A88" s="1"/>
      <c r="B88" s="1"/>
      <c r="C88" s="1"/>
      <c r="D88" s="1"/>
      <c r="E88" s="1"/>
      <c r="F88" s="1"/>
      <c r="G88" s="1"/>
      <c r="H88" s="1"/>
      <c r="I88" s="1"/>
      <c r="J88" s="1"/>
      <c r="K88" s="1"/>
    </row>
    <row r="89" spans="1:11">
      <c r="A89" s="1"/>
      <c r="B89" s="1"/>
      <c r="C89" s="1"/>
      <c r="D89" s="1"/>
      <c r="E89" s="1"/>
      <c r="F89" s="1"/>
      <c r="G89" s="1"/>
      <c r="H89" s="1"/>
      <c r="I89" s="1"/>
      <c r="J89" s="1"/>
      <c r="K89" s="1"/>
    </row>
    <row r="90" spans="1:11">
      <c r="A90" s="1"/>
      <c r="B90" s="1"/>
      <c r="C90" s="1"/>
      <c r="D90" s="1"/>
      <c r="E90" s="1"/>
      <c r="F90" s="1"/>
      <c r="G90" s="1"/>
      <c r="H90" s="1"/>
      <c r="I90" s="1"/>
      <c r="J90" s="1"/>
      <c r="K90" s="1"/>
    </row>
    <row r="91" spans="1:11">
      <c r="A91" s="1"/>
      <c r="B91" s="1"/>
      <c r="C91" s="1"/>
      <c r="D91" s="1"/>
      <c r="E91" s="1"/>
      <c r="F91" s="1"/>
      <c r="G91" s="1"/>
      <c r="H91" s="1"/>
      <c r="I91" s="1"/>
      <c r="J91" s="1"/>
      <c r="K91" s="1"/>
    </row>
    <row r="92" spans="1:11">
      <c r="A92" s="1"/>
      <c r="B92" s="1"/>
      <c r="C92" s="1"/>
      <c r="D92" s="1"/>
      <c r="E92" s="1"/>
      <c r="F92" s="1"/>
      <c r="G92" s="1"/>
      <c r="H92" s="1"/>
      <c r="I92" s="1"/>
      <c r="J92" s="1"/>
      <c r="K92" s="1"/>
    </row>
    <row r="93" spans="1:11">
      <c r="A93" s="1"/>
      <c r="B93" s="1"/>
      <c r="C93" s="1"/>
      <c r="D93" s="1"/>
      <c r="E93" s="1"/>
      <c r="F93" s="1"/>
      <c r="G93" s="1"/>
      <c r="H93" s="1"/>
      <c r="I93" s="1"/>
      <c r="J93" s="1"/>
      <c r="K93" s="1"/>
    </row>
    <row r="94" spans="1:11">
      <c r="A94" s="1"/>
      <c r="B94" s="1"/>
      <c r="C94" s="1"/>
      <c r="D94" s="1"/>
      <c r="E94" s="1"/>
      <c r="F94" s="1"/>
      <c r="G94" s="1"/>
      <c r="H94" s="1"/>
      <c r="I94" s="1"/>
      <c r="J94" s="1"/>
      <c r="K94" s="1"/>
    </row>
    <row r="95" spans="1:11">
      <c r="A95" s="1"/>
      <c r="B95" s="1"/>
      <c r="C95" s="1"/>
      <c r="D95" s="1"/>
      <c r="E95" s="1"/>
      <c r="F95" s="1"/>
      <c r="G95" s="1"/>
      <c r="H95" s="1"/>
      <c r="I95" s="1"/>
      <c r="J95" s="1"/>
      <c r="K95" s="1"/>
    </row>
    <row r="96" spans="1:11">
      <c r="A96" s="1"/>
      <c r="B96" s="1"/>
      <c r="C96" s="1"/>
      <c r="D96" s="1"/>
      <c r="E96" s="1"/>
      <c r="F96" s="1"/>
      <c r="G96" s="1"/>
      <c r="H96" s="1"/>
      <c r="I96" s="1"/>
      <c r="J96" s="1"/>
      <c r="K96" s="1"/>
    </row>
    <row r="97" spans="1:11">
      <c r="A97" s="1"/>
      <c r="B97" s="1"/>
      <c r="C97" s="1"/>
      <c r="D97" s="1"/>
      <c r="E97" s="1"/>
      <c r="F97" s="1"/>
      <c r="G97" s="1"/>
      <c r="H97" s="1"/>
      <c r="I97" s="1"/>
      <c r="J97" s="1"/>
      <c r="K97" s="1"/>
    </row>
    <row r="98" spans="1:11">
      <c r="A98" s="1"/>
      <c r="B98" s="1"/>
      <c r="C98" s="1"/>
      <c r="D98" s="1"/>
      <c r="E98" s="1"/>
      <c r="F98" s="1"/>
      <c r="G98" s="1"/>
      <c r="H98" s="1"/>
      <c r="I98" s="1"/>
      <c r="J98" s="1"/>
      <c r="K98" s="1"/>
    </row>
    <row r="99" spans="1:11">
      <c r="A99" s="1"/>
      <c r="B99" s="1"/>
      <c r="C99" s="1"/>
      <c r="D99" s="1"/>
      <c r="E99" s="1"/>
      <c r="F99" s="1"/>
      <c r="G99" s="1"/>
      <c r="H99" s="1"/>
      <c r="I99" s="1"/>
      <c r="J99" s="1"/>
      <c r="K99" s="1"/>
    </row>
    <row r="100" spans="1:11">
      <c r="A100" s="1"/>
      <c r="B100" s="1"/>
      <c r="C100" s="1"/>
      <c r="D100" s="1"/>
      <c r="E100" s="1"/>
      <c r="F100" s="1"/>
      <c r="G100" s="1"/>
      <c r="H100" s="1"/>
      <c r="I100" s="1"/>
      <c r="J100" s="1"/>
      <c r="K100" s="1"/>
    </row>
    <row r="101" spans="1:11">
      <c r="A101" s="1"/>
      <c r="B101" s="1"/>
      <c r="C101" s="1"/>
      <c r="D101" s="1"/>
      <c r="E101" s="1"/>
      <c r="F101" s="1"/>
      <c r="G101" s="1"/>
      <c r="H101" s="1"/>
      <c r="I101" s="1"/>
      <c r="J101" s="1"/>
      <c r="K101" s="1"/>
    </row>
    <row r="102" spans="1:11">
      <c r="A102" s="1"/>
      <c r="B102" s="1"/>
      <c r="C102" s="1"/>
      <c r="D102" s="1"/>
      <c r="E102" s="1"/>
      <c r="F102" s="1"/>
      <c r="G102" s="1"/>
      <c r="H102" s="1"/>
      <c r="I102" s="1"/>
      <c r="J102" s="1"/>
      <c r="K102" s="1"/>
    </row>
  </sheetData>
  <sheetProtection algorithmName="SHA-512" hashValue="+QVum3RzP2q7ZWTIWgU4AUSKAbman80UjAPRNlhep2U/TddFvX3ZHLDCX738b6iobVobdfKEQTlRGSkbiTuEmw==" saltValue="ijEF6eYKBkRpN76NtNU/wg==" spinCount="100000" sheet="1" objects="1" scenarios="1"/>
  <mergeCells count="26">
    <mergeCell ref="B5:E5"/>
    <mergeCell ref="B6:E6"/>
    <mergeCell ref="B67:D67"/>
    <mergeCell ref="B68:D68"/>
    <mergeCell ref="B62:E62"/>
    <mergeCell ref="B56:C56"/>
    <mergeCell ref="B43:D43"/>
    <mergeCell ref="B44:D44"/>
    <mergeCell ref="B45:D45"/>
    <mergeCell ref="B46:D46"/>
    <mergeCell ref="B47:D47"/>
    <mergeCell ref="B48:D48"/>
    <mergeCell ref="B49:D49"/>
    <mergeCell ref="B50:D50"/>
    <mergeCell ref="B51:D51"/>
    <mergeCell ref="B52:D52"/>
    <mergeCell ref="B54:D54"/>
    <mergeCell ref="B63:D63"/>
    <mergeCell ref="B66:D66"/>
    <mergeCell ref="G41:G42"/>
    <mergeCell ref="B42:D42"/>
    <mergeCell ref="B10:E10"/>
    <mergeCell ref="B30:C30"/>
    <mergeCell ref="B39:D39"/>
    <mergeCell ref="E41:E42"/>
    <mergeCell ref="F41:F42"/>
  </mergeCells>
  <dataValidations count="20">
    <dataValidation type="decimal" operator="greaterThan" allowBlank="1" showErrorMessage="1" errorTitle="Invalid Entry" error="Value must be greater than 0." sqref="F16" xr:uid="{781E5B3A-7408-463F-9651-CAD55D45FDDA}">
      <formula1>0</formula1>
    </dataValidation>
    <dataValidation type="decimal" allowBlank="1" showInputMessage="1" showErrorMessage="1" errorTitle="Invalid Entry" error="Value must be greater than 0 and less than or equal to 24." promptTitle="Operating Hours" sqref="F13" xr:uid="{189FC1B8-0748-4F61-BD9A-2B65AC78EF37}">
      <formula1>0.0001</formula1>
      <formula2>24</formula2>
    </dataValidation>
    <dataValidation type="decimal" allowBlank="1" showInputMessage="1" showErrorMessage="1" errorTitle="Invalid Entry" error="Value must be greater than 0 and less than or equal to 7." promptTitle="Operating Days" sqref="F14" xr:uid="{B1EC174E-4832-49E2-8822-A0D66402D36D}">
      <formula1>0.0001</formula1>
      <formula2>7</formula2>
    </dataValidation>
    <dataValidation type="decimal" allowBlank="1" showErrorMessage="1" errorTitle="Invalid Entry" error="Value must be from 1 to 99 percent." sqref="F17" xr:uid="{44577A0D-C7B8-4E6B-BB17-000EEC24536B}">
      <formula1>1</formula1>
      <formula2>99</formula2>
    </dataValidation>
    <dataValidation type="list" allowBlank="1" showInputMessage="1" showErrorMessage="1" sqref="E30" xr:uid="{DB374700-1AA8-4B4E-AA21-69A2D83869FD}">
      <formula1>$B$43:$B$54</formula1>
    </dataValidation>
    <dataValidation type="decimal" allowBlank="1" showInputMessage="1" showErrorMessage="1" errorTitle="Invalid Entry" error="Value must be greater than 0.01% and less than or equal to 99%." sqref="F53" xr:uid="{86B9D674-0AB0-4EF3-974F-33C4ACA487AF}">
      <formula1>0.0001</formula1>
      <formula2>0.99</formula2>
    </dataValidation>
    <dataValidation type="decimal" allowBlank="1" showInputMessage="1" showErrorMessage="1" errorTitle="Invalid Entry" error="Value must be greater than 0 and less than or equal to 52." promptTitle="Operating Weeks" sqref="F15" xr:uid="{FDC10144-BA92-49BD-B6A6-50BF5E8525E1}">
      <formula1>1</formula1>
      <formula2>52</formula2>
    </dataValidation>
    <dataValidation type="decimal" operator="equal" allowBlank="1" showInputMessage="1" showErrorMessage="1" errorTitle="Invalid Entry" error="Value must equal 1." promptTitle="Number of Coils" sqref="F12" xr:uid="{DD19438E-46D0-4C55-B4AC-66B26192288E}">
      <formula1>1</formula1>
    </dataValidation>
    <dataValidation type="decimal" operator="greaterThan" allowBlank="1" showInputMessage="1" showErrorMessage="1" errorTitle="Invalid Entry" error="Value must be greater than 0." promptTitle="Design Coil Load" sqref="F11" xr:uid="{9E4AE77C-58C5-4D92-8F7E-94314E2DC7CA}">
      <formula1>0</formula1>
    </dataValidation>
    <dataValidation type="decimal" operator="greaterThan" allowBlank="1" showInputMessage="1" showErrorMessage="1" errorTitle="Invalid Entry" error="Value must be greater than 0." promptTitle="Electricity Costs" sqref="F10" xr:uid="{6FC0AA53-917A-4DD6-B2C5-2579691C9E31}">
      <formula1>0</formula1>
    </dataValidation>
    <dataValidation type="list" allowBlank="1" showInputMessage="1" showErrorMessage="1" sqref="F5" xr:uid="{CD0D8628-02FA-462C-AAD3-9F520C11DF0A}">
      <formula1>"English,Español,Português,Français"</formula1>
    </dataValidation>
    <dataValidation type="list" allowBlank="1" showInputMessage="1" showErrorMessage="1" sqref="F6" xr:uid="{1111EF91-B2E5-4EA9-AE40-2A652BABB4B6}">
      <formula1>"Metric,US"</formula1>
    </dataValidation>
    <dataValidation type="decimal" allowBlank="1" showInputMessage="1" showErrorMessage="1" errorTitle="Invalid value" error="Design Delta T is outside the allowed range for the selected unit system." sqref="F18" xr:uid="{45C28022-CC73-477E-B495-A8CC6D685C48}">
      <formula1>DT_MIN_BOUND</formula1>
      <formula2>DT_MAX_BOUND</formula2>
    </dataValidation>
    <dataValidation type="decimal" operator="lessThanOrEqual" allowBlank="1" showInputMessage="1" showErrorMessage="1" errorTitle="Invalid value" error="Actual Delta T must be at least one step below Future Delta T." sqref="F19" xr:uid="{0D4E5EF9-B574-43CC-9D44-EF06831904F6}">
      <formula1>$F$20-DT_GAP</formula1>
    </dataValidation>
    <dataValidation type="decimal" operator="greaterThanOrEqual" allowBlank="1" showInputMessage="1" showErrorMessage="1" errorTitle="Invalid value" error="Future Delta T must be at least one step above Actual Delta T." sqref="F20" xr:uid="{73755D59-2240-45AB-9ED1-295DD1F1FA21}">
      <formula1>$F$19+DT_GAP</formula1>
    </dataValidation>
    <dataValidation type="decimal" allowBlank="1" showInputMessage="1" showErrorMessage="1" errorTitle="Invalid value" error="Measure life must be between 1 and 50 years." sqref="F64" xr:uid="{FB923EF8-E43D-4A16-9207-8A9D9C184BA8}">
      <formula1>1</formula1>
      <formula2>50</formula2>
    </dataValidation>
    <dataValidation type="decimal" operator="greaterThanOrEqual" allowBlank="1" showInputMessage="1" showErrorMessage="1" error="Investment Cost cannot be negative." sqref="F62" xr:uid="{A5E60D64-F3A3-4604-A27C-929CD7837EF2}">
      <formula1>0</formula1>
    </dataValidation>
    <dataValidation type="decimal" allowBlank="1" showInputMessage="1" showErrorMessage="1" error="Discount Rate must be between 0% and 50%." sqref="F63" xr:uid="{CD61AEB9-3F2A-4E2E-A2DF-2240FC3584CD}">
      <formula1>0</formula1>
      <formula2>0.5</formula2>
    </dataValidation>
    <dataValidation type="custom" allowBlank="1" showInputMessage="1" showErrorMessage="1" errorTitle="Invalid value" error="Each share must be between 0% and 100%, and the first three together at most 100% (the Min point takes the remainder)." sqref="E33:E35" xr:uid="{1C56DD2A-F1D9-43CE-B21E-F47E858373EE}">
      <formula1>AND(E33&gt;=0,E33&lt;=1,SUM($E$33:$E$35)&lt;=1.000001)</formula1>
    </dataValidation>
    <dataValidation type="decimal" allowBlank="1" showInputMessage="1" showErrorMessage="1" errorTitle="Invalid Entry" error="Value must be between 1 and 6,000 cooling degree days." sqref="E53" xr:uid="{0EB23A4D-F096-4474-B927-D117801DA32C}">
      <formula1>1</formula1>
      <formula2>6000</formula2>
    </dataValidation>
  </dataValidations>
  <printOptions horizontalCentered="1"/>
  <pageMargins left="0.4" right="0.4" top="0.5" bottom="0.5" header="0.3" footer="0.3"/>
  <pageSetup scale="65" orientation="landscape" r:id="rId1"/>
  <rowBreaks count="1" manualBreakCount="1">
    <brk id="37" max="15"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93D8E-2AA7-4C43-9CAF-FF4E8B3DBB9B}">
  <sheetPr codeName="Sheet52">
    <tabColor rgb="FFFF6600"/>
  </sheetPr>
  <dimension ref="B1:AA95"/>
  <sheetViews>
    <sheetView showGridLines="0" zoomScale="90" zoomScaleNormal="90" workbookViewId="0">
      <pane ySplit="3" topLeftCell="A40" activePane="bottomLeft" state="frozen"/>
      <selection activeCell="P18" sqref="P18"/>
      <selection pane="bottomLeft" activeCell="H5" sqref="H5"/>
    </sheetView>
  </sheetViews>
  <sheetFormatPr defaultColWidth="9.109375" defaultRowHeight="13.2"/>
  <cols>
    <col min="1" max="1" width="2.5546875" style="49" customWidth="1"/>
    <col min="2" max="2" width="11" style="49" customWidth="1"/>
    <col min="3" max="3" width="10.88671875" style="49" customWidth="1"/>
    <col min="4" max="4" width="11.21875" style="49" customWidth="1"/>
    <col min="5" max="5" width="12.6640625" style="49" customWidth="1"/>
    <col min="6" max="6" width="14.21875" style="49" customWidth="1"/>
    <col min="7" max="7" width="15.77734375" style="49" customWidth="1"/>
    <col min="8" max="8" width="12.6640625" style="49" customWidth="1"/>
    <col min="9" max="10" width="13.6640625" style="49" customWidth="1"/>
    <col min="11" max="11" width="2.44140625" style="49" customWidth="1"/>
    <col min="12" max="12" width="15.44140625" style="49" customWidth="1"/>
    <col min="13" max="13" width="18" style="49" customWidth="1"/>
    <col min="14" max="14" width="16.44140625" style="49" customWidth="1"/>
    <col min="15" max="15" width="18.88671875" style="49" customWidth="1"/>
    <col min="16" max="16" width="1.6640625" style="113" customWidth="1"/>
    <col min="17" max="17" width="20.5546875" style="49" customWidth="1"/>
    <col min="18" max="18" width="12.88671875" style="49" customWidth="1"/>
    <col min="19" max="19" width="14.109375" style="49" customWidth="1"/>
    <col min="20" max="20" width="13.5546875" style="49" customWidth="1"/>
    <col min="21" max="21" width="14.5546875" style="49" customWidth="1"/>
    <col min="22" max="22" width="17" style="49" customWidth="1"/>
    <col min="23" max="23" width="13" style="49" customWidth="1"/>
    <col min="24" max="24" width="17" style="49" customWidth="1"/>
    <col min="25" max="26" width="9.109375" customWidth="1"/>
    <col min="27" max="16384" width="9.109375" style="49"/>
  </cols>
  <sheetData>
    <row r="1" spans="2:26" s="47" customFormat="1">
      <c r="Y1"/>
      <c r="Z1"/>
    </row>
    <row r="2" spans="2:26" s="47" customFormat="1">
      <c r="E2" s="71"/>
      <c r="F2" s="71"/>
      <c r="G2" s="71"/>
      <c r="H2" s="71"/>
      <c r="I2" s="71"/>
      <c r="J2" s="71"/>
      <c r="K2" s="71"/>
      <c r="L2" s="71"/>
      <c r="M2" s="71"/>
      <c r="N2" s="71"/>
      <c r="O2" s="71"/>
      <c r="P2" s="71"/>
      <c r="Q2" s="72"/>
      <c r="R2" s="71"/>
      <c r="Y2"/>
      <c r="Z2"/>
    </row>
    <row r="3" spans="2:26" s="48" customFormat="1" ht="52.5" customHeight="1" thickBot="1">
      <c r="N3" s="47"/>
      <c r="O3" s="47"/>
      <c r="P3" s="47"/>
      <c r="Q3" s="47"/>
      <c r="R3" s="47"/>
      <c r="Y3"/>
      <c r="Z3"/>
    </row>
    <row r="4" spans="2:26" ht="37.5" customHeight="1">
      <c r="N4" s="146" t="str">
        <f>Tr("FLOW_GPM_HDR")&amp;" ["&amp;UnitText("FLOW")&amp;"]"</f>
        <v>Flow [GPM]</v>
      </c>
      <c r="O4" s="147" t="str">
        <f>Tr("HEAD_FT_HDR")&amp;" ["&amp;UnitText("HEAD")&amp;"]"</f>
        <v>Head [ft.]</v>
      </c>
      <c r="P4" s="146" t="str">
        <f>Tr("POWER_HP_HDR")&amp;" ["&amp;UnitText("POWER")&amp;"]"</f>
        <v>Power [HP]</v>
      </c>
      <c r="Q4" s="148"/>
      <c r="R4" s="146" t="str">
        <f>Tr("POWER_KW_HDR","Power [kW]")</f>
        <v>Power [kW]</v>
      </c>
      <c r="S4" s="29"/>
    </row>
    <row r="5" spans="2:26" ht="13.8">
      <c r="B5" s="50" t="str">
        <f>Tr("PUMP_DESIGN_FACTOR","Pump Design Factor")</f>
        <v>Pump Design Factor</v>
      </c>
      <c r="C5" s="51"/>
      <c r="D5" s="51"/>
      <c r="E5" s="51"/>
      <c r="F5" s="130">
        <v>1.25</v>
      </c>
      <c r="G5" s="50" t="str">
        <f>Tr("MAX_FLOW_RATE","Max Flow Rate")</f>
        <v>Max Flow Rate</v>
      </c>
      <c r="H5" s="169" t="str">
        <f>TEXT(displayValue('Model_Pump Savings'!F7*F5,"FLOW"),"0.0")&amp;" "&amp;UnitText("FLOW")</f>
        <v>387.5 GPM</v>
      </c>
      <c r="J5" s="70" t="str">
        <f>Tr("EDITABLE_FIELD","Editable Field")</f>
        <v>Editable Field</v>
      </c>
      <c r="N5" s="149">
        <f>displayValue('Model_Pump Savings'!N5,"FLOW")</f>
        <v>0</v>
      </c>
      <c r="O5" s="149">
        <f>displayValue('Model_Pump Savings'!O5,"HEAD")</f>
        <v>0</v>
      </c>
      <c r="P5" s="150">
        <f>displayValue('Model_Pump Savings'!P5,"POWER")</f>
        <v>0</v>
      </c>
      <c r="Q5" s="68"/>
      <c r="R5" s="150">
        <f>'Model_Pump Savings'!P5*0.746</f>
        <v>0</v>
      </c>
      <c r="S5" s="115"/>
    </row>
    <row r="6" spans="2:26" ht="13.8">
      <c r="B6" s="50" t="str">
        <f>Tr("MINIMUM_PUMP_HEAD","Minimum Pump head")</f>
        <v>Minimum Pump Head</v>
      </c>
      <c r="C6" s="51"/>
      <c r="D6" s="51"/>
      <c r="E6" s="51"/>
      <c r="F6" s="132">
        <f>displayValue('Model_Pump Savings'!F6,"HEAD")</f>
        <v>0</v>
      </c>
      <c r="J6" s="53" t="str">
        <f>Tr("LABEL_WORD","Label")</f>
        <v>Label</v>
      </c>
      <c r="K6" s="33"/>
      <c r="L6" s="33"/>
      <c r="M6" s="33"/>
      <c r="N6" s="33"/>
      <c r="O6" s="33"/>
      <c r="P6" s="33"/>
      <c r="Q6" s="33"/>
    </row>
    <row r="7" spans="2:26" ht="13.8">
      <c r="B7" s="50" t="str">
        <f>Tr("DESIGN_CHW_COIL_FLOW_VMAX","Design Chilled Water Coil Flow [V'max]")</f>
        <v>Design Chilled Water Coil Flow [V'max]</v>
      </c>
      <c r="C7" s="51"/>
      <c r="D7" s="51"/>
      <c r="E7" s="51"/>
      <c r="F7" s="347">
        <f>displayValue('Model_Pump Savings'!F7,"FLOW")</f>
        <v>310</v>
      </c>
      <c r="I7" s="320"/>
      <c r="J7" s="320"/>
      <c r="K7" s="320"/>
      <c r="L7" s="320"/>
      <c r="M7" s="320"/>
      <c r="N7" s="320"/>
      <c r="O7" s="320"/>
      <c r="P7" s="320"/>
      <c r="Q7" s="320"/>
    </row>
    <row r="8" spans="2:26" ht="13.8">
      <c r="B8" s="50" t="str">
        <f>Tr("DESIGN_CHW_COIL_DT","Design Chilled Water Coil ΔT")</f>
        <v>Design Chilled Water Coil ΔT</v>
      </c>
      <c r="C8" s="51"/>
      <c r="D8" s="51"/>
      <c r="E8" s="51"/>
      <c r="F8" s="348">
        <f>displayValue('Model_Pump Savings'!F8,"DELTA")</f>
        <v>12</v>
      </c>
      <c r="I8" s="33"/>
      <c r="J8" s="33"/>
      <c r="K8" s="33"/>
      <c r="L8" s="33"/>
      <c r="M8" s="33"/>
      <c r="N8" s="33"/>
      <c r="O8" s="33"/>
      <c r="P8" s="69"/>
      <c r="Q8" s="33"/>
    </row>
    <row r="9" spans="2:26" ht="15" customHeight="1">
      <c r="B9" s="50" t="str">
        <f>Tr("DESIGN_CHW_COIL_TONNAGE")&amp;" ["&amp;UnitText("TONS")&amp;"]"</f>
        <v>Design Chilled Water Coil [tons]</v>
      </c>
      <c r="C9" s="51"/>
      <c r="D9" s="51"/>
      <c r="E9" s="51"/>
      <c r="F9" s="348">
        <f>displayValue('Model_Pump Savings'!F9,"TONS")</f>
        <v>155</v>
      </c>
      <c r="I9" s="33"/>
      <c r="J9" s="33"/>
      <c r="K9" s="33"/>
      <c r="L9" s="33"/>
      <c r="M9" s="33"/>
      <c r="N9" s="33"/>
      <c r="O9" s="33"/>
      <c r="P9" s="69"/>
      <c r="Q9" s="33"/>
      <c r="T9" s="55"/>
    </row>
    <row r="10" spans="2:26" ht="16.5" customHeight="1">
      <c r="B10" s="50" t="str">
        <f>Tr("DESIGN_CHW_COIL_BTUH")&amp;" ["&amp;UnitText("THERMAL")&amp;"]"</f>
        <v>Design Chilled Water Coil [BTU/h]</v>
      </c>
      <c r="C10" s="51"/>
      <c r="D10" s="51"/>
      <c r="E10" s="51"/>
      <c r="F10" s="109">
        <f>displayValue('Model_Pump Savings'!F10,"THERMAL")</f>
        <v>1860000</v>
      </c>
      <c r="G10" s="325" t="str">
        <f>Tr("ENERGY_VALVE_MODEL","Energy Valve Model ")</f>
        <v xml:space="preserve">Energy Valve Model </v>
      </c>
      <c r="H10" s="326"/>
      <c r="I10" s="169" t="str">
        <f>IFERROR(_xlfn.XLOOKUP('Model_Pump Savings'!F7,T21:T33,U21:U33,,-1),Tr("EV_BELOW_RANGE","Below EV range"))</f>
        <v>EV400SU-317</v>
      </c>
      <c r="J10" s="327" t="str">
        <f>IFERROR(VLOOKUP(I10,U21:X33,IF(IsMetric(),4,2),FALSE),"")</f>
        <v>95..317 gpm</v>
      </c>
      <c r="K10" s="327"/>
      <c r="L10" s="328" t="str">
        <f>IFERROR(VLOOKUP(I10,U21:X33,3,FALSE)&amp;" "&amp;Tr("BASED_ON_VMAX_SUFFIX","* based on V'max"),"")</f>
        <v>4"  DN100 * based on V'max</v>
      </c>
      <c r="M10" s="328"/>
      <c r="N10" s="33"/>
      <c r="O10" s="33"/>
      <c r="P10" s="69"/>
      <c r="Q10" s="33"/>
    </row>
    <row r="11" spans="2:26" ht="47.25" customHeight="1">
      <c r="B11" s="67"/>
      <c r="C11" s="68"/>
      <c r="D11" s="68"/>
      <c r="E11" s="68"/>
      <c r="F11" s="69"/>
      <c r="I11" s="33"/>
      <c r="J11" s="33"/>
      <c r="K11" s="33"/>
      <c r="L11" s="33"/>
      <c r="M11" s="33"/>
      <c r="N11" s="33"/>
    </row>
    <row r="12" spans="2:26">
      <c r="B12" s="29" t="str">
        <f>Tr("LOAD_PCT_HDR","Load [%]")</f>
        <v>Load [%]</v>
      </c>
      <c r="C12" s="54" t="str">
        <f>Tr("TIME_PCT_HDR","Time [%]")</f>
        <v>Time [%]</v>
      </c>
      <c r="D12" s="29" t="str">
        <f>Tr("TIME_H_HDR","Time [h]")</f>
        <v>Time [h]</v>
      </c>
      <c r="E12" s="29" t="str">
        <f>Tr("FLOW_GPM_HDR")&amp;" ["&amp;UnitText("FLOW")&amp;"]"</f>
        <v>Flow [GPM]</v>
      </c>
      <c r="F12" s="29" t="str">
        <f>Tr("HEAD_FT_HDR")&amp;" ["&amp;UnitText("HEAD")&amp;"]"</f>
        <v>Head [ft.]</v>
      </c>
      <c r="G12" s="29" t="str">
        <f>Tr("POWER_HP_HDR")&amp;" ["&amp;UnitText("POWER")&amp;"]"</f>
        <v>Power [HP]</v>
      </c>
      <c r="H12" s="29" t="str">
        <f>UnitText("THERMAL")</f>
        <v>BTU/h</v>
      </c>
      <c r="I12" s="29" t="str">
        <f>Tr("ENERGY_KWH_HDR","Energy [kWh]")</f>
        <v>Energy [kWh]</v>
      </c>
      <c r="J12" s="29" t="str">
        <f>Tr("ANNUAL_GAL")&amp;" "&amp;UnitText("VOLUME")</f>
        <v>Annual gallons</v>
      </c>
      <c r="K12" s="29"/>
      <c r="L12" s="29" t="str">
        <f>" "&amp;Tr("PUMP_COSTS_TITLE","Pump Costs")</f>
        <v xml:space="preserve"> Pump Costs</v>
      </c>
      <c r="M12" s="114"/>
      <c r="N12" s="29" t="str">
        <f>Tr("PUMP_COSTS_LOWER","Pump costs")</f>
        <v>Pump costs</v>
      </c>
      <c r="O12" s="113"/>
      <c r="P12" s="49"/>
    </row>
    <row r="13" spans="2:26">
      <c r="B13" s="56">
        <v>100</v>
      </c>
      <c r="C13" s="57">
        <f>Home!$E$33*100</f>
        <v>25</v>
      </c>
      <c r="D13" s="23">
        <f>Home!$F$37*C13*0.01</f>
        <v>1374.1494102228048</v>
      </c>
      <c r="E13" s="23">
        <f>displayValue('Model_Pump Savings'!E13,"FLOW")</f>
        <v>310</v>
      </c>
      <c r="F13" s="23">
        <f>displayValue('Model_Pump Savings'!F13,"HEAD")</f>
        <v>30</v>
      </c>
      <c r="G13" s="58">
        <f>displayValue('Model_Pump Savings'!G13,"POWER")</f>
        <v>3.3549783549783552</v>
      </c>
      <c r="H13" s="104">
        <f>displayValue('Model_Pump Savings'!H13,"THERMAL")</f>
        <v>1860000</v>
      </c>
      <c r="I13" s="119">
        <f>(D13*'Model_Pump Savings'!G13)*0.746</f>
        <v>3439.2401797416219</v>
      </c>
      <c r="J13" s="104">
        <f>displayValue('Model_Pump Savings'!J13,"VOLUME")</f>
        <v>25559179.03014417</v>
      </c>
      <c r="K13" s="110"/>
      <c r="L13" s="59">
        <f>I13*Home!$F$10</f>
        <v>343.92401797416221</v>
      </c>
      <c r="M13" s="29" t="str">
        <f>Tr("PUMP_COSTS_LOWER","Pump costs")</f>
        <v>Pump costs</v>
      </c>
      <c r="N13" s="59">
        <f>N16*Home!$F$10</f>
        <v>677.10041038663189</v>
      </c>
      <c r="O13" s="113"/>
      <c r="P13" s="49"/>
    </row>
    <row r="14" spans="2:26">
      <c r="B14" s="56">
        <v>75</v>
      </c>
      <c r="C14" s="57">
        <f>Home!$E$34*100</f>
        <v>50</v>
      </c>
      <c r="D14" s="23">
        <f>+Home!$F$37*C14*0.01</f>
        <v>2748.2988204456096</v>
      </c>
      <c r="E14" s="23">
        <f>displayValue('Model_Pump Savings'!E14,"FLOW")</f>
        <v>232.5</v>
      </c>
      <c r="F14" s="23">
        <f>displayValue('Model_Pump Savings'!F14,"HEAD")</f>
        <v>16.875</v>
      </c>
      <c r="G14" s="58">
        <f>displayValue('Model_Pump Savings'!G14,"POWER")</f>
        <v>1.4153814935064934</v>
      </c>
      <c r="H14" s="104">
        <f>displayValue('Model_Pump Savings'!H14,"THERMAL")</f>
        <v>1395000</v>
      </c>
      <c r="I14" s="119">
        <f>(D14*'Model_Pump Savings'!G14)*0.746</f>
        <v>2901.8589016569931</v>
      </c>
      <c r="J14" s="104">
        <f>displayValue('Model_Pump Savings'!J14,"VOLUME")</f>
        <v>38338768.545216255</v>
      </c>
      <c r="K14" s="110"/>
      <c r="L14" s="59">
        <f>I14*Home!$F$10</f>
        <v>290.18589016569933</v>
      </c>
      <c r="M14" s="60" t="str">
        <f>Tr("ANNUAL_GAL")&amp;" "&amp;UnitText("VOLUME")</f>
        <v>Annual gallons</v>
      </c>
      <c r="N14" s="104">
        <f>displayValue('Model_Pump Savings'!N14,"VOLUME")</f>
        <v>76677537.09043251</v>
      </c>
      <c r="O14" s="113"/>
      <c r="P14" s="49"/>
    </row>
    <row r="15" spans="2:26">
      <c r="B15" s="56">
        <v>50</v>
      </c>
      <c r="C15" s="57">
        <f>Home!$E$35*100</f>
        <v>25</v>
      </c>
      <c r="D15" s="23">
        <f>+Home!$F$37*C15*0.01</f>
        <v>1374.1494102228048</v>
      </c>
      <c r="E15" s="23">
        <f>displayValue('Model_Pump Savings'!E15,"FLOW")</f>
        <v>155</v>
      </c>
      <c r="F15" s="23">
        <f>displayValue('Model_Pump Savings'!F15,"HEAD")</f>
        <v>7.5</v>
      </c>
      <c r="G15" s="58">
        <f>displayValue('Model_Pump Savings'!G15,"POWER")</f>
        <v>0.4193722943722944</v>
      </c>
      <c r="H15" s="104">
        <f>displayValue('Model_Pump Savings'!H15,"THERMAL")</f>
        <v>930000</v>
      </c>
      <c r="I15" s="119">
        <f>(D15*'Model_Pump Savings'!G15)*0.746</f>
        <v>429.90502246770274</v>
      </c>
      <c r="J15" s="104">
        <f>displayValue('Model_Pump Savings'!J15,"VOLUME")</f>
        <v>12779589.515072085</v>
      </c>
      <c r="K15" s="110"/>
      <c r="L15" s="59">
        <f>I15*Home!$F$10</f>
        <v>42.990502246770276</v>
      </c>
      <c r="M15" s="60" t="str">
        <f>Tr("AVG_GPM")&amp;" "&amp;UnitText("FLOW")</f>
        <v>Avg GPM</v>
      </c>
      <c r="N15" s="61">
        <f>displayValue('Model_Pump Savings'!N15,"FLOW")</f>
        <v>232.50000000000003</v>
      </c>
      <c r="O15" s="113"/>
      <c r="P15" s="49"/>
    </row>
    <row r="16" spans="2:26" s="33" customFormat="1">
      <c r="B16" s="56">
        <v>25</v>
      </c>
      <c r="C16" s="57">
        <f>Home!$E$36*100</f>
        <v>0</v>
      </c>
      <c r="D16" s="23">
        <f>+Home!$F$37*C16*0.01</f>
        <v>0</v>
      </c>
      <c r="E16" s="23">
        <f>displayValue('Model_Pump Savings'!E16,"FLOW")</f>
        <v>77.5</v>
      </c>
      <c r="F16" s="23">
        <f>displayValue('Model_Pump Savings'!F16,"HEAD")</f>
        <v>1.875</v>
      </c>
      <c r="G16" s="58">
        <f>displayValue('Model_Pump Savings'!G16,"POWER")</f>
        <v>5.24215367965368E-2</v>
      </c>
      <c r="H16" s="104">
        <f>displayValue('Model_Pump Savings'!H16,"THERMAL")</f>
        <v>465000</v>
      </c>
      <c r="I16" s="119">
        <f>(D16*'Model_Pump Savings'!G16)*0.746</f>
        <v>0</v>
      </c>
      <c r="J16" s="104">
        <f>displayValue('Model_Pump Savings'!J16,"VOLUME")</f>
        <v>0</v>
      </c>
      <c r="K16" s="110"/>
      <c r="L16" s="59">
        <f>I16*Home!$F$10</f>
        <v>0</v>
      </c>
      <c r="M16" s="29" t="str">
        <f>Tr("ENERGY_KWH_HDR","Energy [kWh]")</f>
        <v>Energy [kWh]</v>
      </c>
      <c r="N16" s="104">
        <f>SUMPRODUCT(D13:D16,'Model_Pump Savings'!G13:G16)*0.746</f>
        <v>6771.0041038663185</v>
      </c>
      <c r="O16" s="49"/>
      <c r="S16" s="29"/>
      <c r="U16" s="49"/>
      <c r="Y16"/>
      <c r="Z16"/>
    </row>
    <row r="17" spans="2:27">
      <c r="B17" s="62" t="s">
        <v>51</v>
      </c>
      <c r="C17" s="62" t="s">
        <v>51</v>
      </c>
      <c r="D17" s="62" t="s">
        <v>51</v>
      </c>
      <c r="E17" s="63"/>
      <c r="F17" s="63"/>
      <c r="I17" s="108">
        <f>SUM(I13:I16)</f>
        <v>6771.0041038663185</v>
      </c>
      <c r="J17" s="108">
        <f>SUM(J13:J16)</f>
        <v>76677537.09043251</v>
      </c>
      <c r="L17" s="108">
        <f>SUM(L13:L16)</f>
        <v>677.10041038663178</v>
      </c>
      <c r="M17" s="113"/>
      <c r="O17" s="113"/>
    </row>
    <row r="18" spans="2:27" ht="15.75" customHeight="1">
      <c r="B18" s="29"/>
      <c r="C18" s="54"/>
      <c r="D18" s="29"/>
      <c r="K18" s="29"/>
      <c r="L18" s="114"/>
      <c r="M18" s="114"/>
      <c r="N18" s="114"/>
      <c r="O18" s="114"/>
      <c r="P18" s="114"/>
      <c r="Q18" s="33"/>
      <c r="R18" s="29"/>
      <c r="T18" s="49" t="s">
        <v>52</v>
      </c>
      <c r="AA18" s="65"/>
    </row>
    <row r="19" spans="2:27" s="33" customFormat="1" ht="13.8">
      <c r="B19" s="318" t="str">
        <f>Tr("CHW_COIL_FLOWS_AT_DIFFERENT_DT")&amp;" ["&amp;UnitText("DELTA")&amp;"]"</f>
        <v>Chilled Water Coil Flows at different Delta T [°F]</v>
      </c>
      <c r="C19" s="319"/>
      <c r="D19" s="319"/>
      <c r="E19" s="319"/>
      <c r="F19" s="319"/>
      <c r="G19" s="319"/>
      <c r="H19" s="319"/>
      <c r="I19" s="319"/>
      <c r="J19" s="319"/>
      <c r="K19" s="111"/>
      <c r="L19" s="322" t="str">
        <f>Tr("EFFECTS_OF_LOW_DT_VS_DESIGN","Effects of Low ΔT vs Design")</f>
        <v>Effects of Low ΔT vs Design</v>
      </c>
      <c r="M19" s="323"/>
      <c r="N19" s="323"/>
      <c r="O19" s="323"/>
      <c r="P19" s="323"/>
      <c r="Q19" s="323"/>
      <c r="R19" s="323"/>
      <c r="V19" s="60"/>
      <c r="Y19"/>
      <c r="Z19"/>
    </row>
    <row r="20" spans="2:27">
      <c r="S20" s="33"/>
    </row>
    <row r="21" spans="2:27" ht="13.8">
      <c r="B21" s="50" t="str">
        <f>Tr("CHILLED_WATER_COIL_FLOW_AT_DT")&amp;" ["&amp;UnitText("DELTA")&amp;"]:"</f>
        <v>Chilled Water Coil Flow at Delta T [°F]:</v>
      </c>
      <c r="C21" s="51"/>
      <c r="D21" s="51"/>
      <c r="E21" s="64"/>
      <c r="F21" s="349">
        <f>displayValue('Model_Pump Savings'!F21,"DELTA")</f>
        <v>4</v>
      </c>
      <c r="L21" s="29" t="str">
        <f>UnitText("THERMAL")</f>
        <v>BTU/h</v>
      </c>
      <c r="M21" s="29" t="str">
        <f>Tr("INCREASE_WORD","Increase")</f>
        <v>Increase</v>
      </c>
      <c r="N21" s="29" t="str">
        <f>Tr("ADDITIONAL_TRAIL","Additional ")</f>
        <v xml:space="preserve">Additional </v>
      </c>
      <c r="O21" s="29" t="str">
        <f>Tr("ADDITONAL_TYPO","Additional")</f>
        <v>Additional</v>
      </c>
      <c r="P21" s="114"/>
      <c r="R21" s="29" t="str">
        <f>Tr("TOTAL_ANNUAL","Total Annual")</f>
        <v>Total Annual</v>
      </c>
      <c r="S21" s="105"/>
      <c r="T21" s="33">
        <v>1.65</v>
      </c>
      <c r="U21" s="33" t="s">
        <v>92</v>
      </c>
      <c r="V21" s="49" t="s">
        <v>105</v>
      </c>
      <c r="W21" s="167" t="s">
        <v>110</v>
      </c>
      <c r="X21" s="49" t="s">
        <v>981</v>
      </c>
    </row>
    <row r="22" spans="2:27">
      <c r="B22" s="29" t="str">
        <f>Tr("LOAD_PCT_HDR","Load [%]")</f>
        <v>Load [%]</v>
      </c>
      <c r="C22" s="54" t="str">
        <f>Tr("TIME_PCT_HDR","Time [%]")</f>
        <v>Time [%]</v>
      </c>
      <c r="D22" s="29" t="str">
        <f>Tr("TIME_H_HDR","Time [h]")</f>
        <v>Time [h]</v>
      </c>
      <c r="E22" s="29" t="str">
        <f>Tr("FLOW_GPM_HDR")&amp;" ["&amp;UnitText("FLOW")&amp;"]"</f>
        <v>Flow [GPM]</v>
      </c>
      <c r="F22" s="29" t="str">
        <f>Tr("HEAD_FT_HDR")&amp;" ["&amp;UnitText("HEAD")&amp;"]"</f>
        <v>Head [ft.]</v>
      </c>
      <c r="G22" s="29" t="str">
        <f>Tr("POWER_HP_HDR")&amp;" ["&amp;UnitText("POWER")&amp;"]"</f>
        <v>Power [HP]</v>
      </c>
      <c r="H22" s="29" t="str">
        <f>UnitText("THERMAL")</f>
        <v>BTU/h</v>
      </c>
      <c r="I22" s="29" t="str">
        <f>Tr("ENERGY_KWH_HDR","Energy [kWh]")</f>
        <v>Energy [kWh]</v>
      </c>
      <c r="J22" s="29" t="str">
        <f>Tr("ANNUAL_GAL")&amp;" "&amp;UnitText("VOLUME")</f>
        <v>Annual gallons</v>
      </c>
      <c r="K22" s="29"/>
      <c r="L22" s="29" t="str">
        <f>Tr("AS_PCT_OF_DESIGN","As % of Design")</f>
        <v>As % of Design</v>
      </c>
      <c r="M22" s="29" t="str">
        <f>Tr("IN_GPM")&amp;" "&amp;UnitText("FLOW")</f>
        <v>In GPM</v>
      </c>
      <c r="N22" s="29" t="str">
        <f>Tr("GAL_PUMPED")&amp;" "&amp;UnitText("VOLUME")</f>
        <v>Pumped gallons</v>
      </c>
      <c r="O22" s="29" t="str">
        <f>Tr("PUMP_COSTS_TITLE","Pump Costs")</f>
        <v>Pump Costs</v>
      </c>
      <c r="P22" s="114"/>
      <c r="Q22" s="29"/>
      <c r="R22" s="29" t="str">
        <f>Tr("PUMP_COSTS_LOWER","Pump costs")</f>
        <v>Pump costs</v>
      </c>
      <c r="T22" s="33">
        <v>6.6</v>
      </c>
      <c r="U22" s="33" t="s">
        <v>93</v>
      </c>
      <c r="V22" s="49" t="s">
        <v>106</v>
      </c>
      <c r="W22" s="167" t="s">
        <v>111</v>
      </c>
      <c r="X22" s="49" t="s">
        <v>982</v>
      </c>
    </row>
    <row r="23" spans="2:27">
      <c r="B23" s="56">
        <v>100</v>
      </c>
      <c r="C23" s="57">
        <f>Home!$E$33*100</f>
        <v>25</v>
      </c>
      <c r="D23" s="23">
        <f>+Home!$F$37*C23*0.01</f>
        <v>1374.1494102228048</v>
      </c>
      <c r="E23" s="23">
        <f>displayValue('Model_Pump Savings'!E23,"FLOW")</f>
        <v>387.5</v>
      </c>
      <c r="F23" s="23">
        <f>displayValue('Model_Pump Savings'!F23,"HEAD")</f>
        <v>46.875</v>
      </c>
      <c r="G23" s="58">
        <f>displayValue('Model_Pump Savings'!G23,"POWER")</f>
        <v>6.5526920995670999</v>
      </c>
      <c r="H23" s="104">
        <f>displayValue('Model_Pump Savings'!H23,"THERMAL")</f>
        <v>775000</v>
      </c>
      <c r="I23" s="119">
        <f>(D23*'Model_Pump Savings'!G23)*0.746</f>
        <v>6717.2659760578545</v>
      </c>
      <c r="J23" s="104">
        <f>displayValue('Model_Pump Savings'!J23,"VOLUME")</f>
        <v>31948973.787680212</v>
      </c>
      <c r="K23" s="110"/>
      <c r="L23" s="120">
        <f>SUM(H23/$H$13)</f>
        <v>0.41666666666666669</v>
      </c>
      <c r="M23" s="121">
        <f>displayValue('Model_Pump Savings'!M23,"FLOW")</f>
        <v>77.5</v>
      </c>
      <c r="N23" s="121">
        <f>displayValue('Model_Pump Savings'!N23,"VOLUME")</f>
        <v>6389794.7575360425</v>
      </c>
      <c r="O23" s="122">
        <f>I23*Home!$F$10</f>
        <v>671.72659760578551</v>
      </c>
      <c r="P23" s="116"/>
      <c r="Q23" s="29" t="str">
        <f>Tr("PUMP_COSTS_LOWER","Pump costs")</f>
        <v>Pump costs</v>
      </c>
      <c r="R23" s="106">
        <f>R26*Home!$F$10</f>
        <v>2686.9063904231421</v>
      </c>
      <c r="T23" s="33">
        <v>12</v>
      </c>
      <c r="U23" s="33" t="s">
        <v>94</v>
      </c>
      <c r="V23" s="49" t="s">
        <v>107</v>
      </c>
      <c r="W23" s="167" t="s">
        <v>112</v>
      </c>
      <c r="X23" s="49" t="s">
        <v>983</v>
      </c>
    </row>
    <row r="24" spans="2:27">
      <c r="B24" s="56">
        <v>75</v>
      </c>
      <c r="C24" s="57">
        <f>Home!$E$34*100</f>
        <v>50</v>
      </c>
      <c r="D24" s="23">
        <f>+Home!$F$37*C24*0.01</f>
        <v>2748.2988204456096</v>
      </c>
      <c r="E24" s="23">
        <f>displayValue('Model_Pump Savings'!E24,"FLOW")</f>
        <v>387.5</v>
      </c>
      <c r="F24" s="23">
        <f>displayValue('Model_Pump Savings'!F24,"HEAD")</f>
        <v>46.875</v>
      </c>
      <c r="G24" s="58">
        <f>displayValue('Model_Pump Savings'!G24,"POWER")</f>
        <v>6.5526920995670999</v>
      </c>
      <c r="H24" s="104">
        <f>displayValue('Model_Pump Savings'!H24,"THERMAL")</f>
        <v>775000</v>
      </c>
      <c r="I24" s="119">
        <f>(D24*'Model_Pump Savings'!G24)*0.746</f>
        <v>13434.531952115709</v>
      </c>
      <c r="J24" s="104">
        <f>displayValue('Model_Pump Savings'!J24,"VOLUME")</f>
        <v>63897947.575360425</v>
      </c>
      <c r="K24" s="110"/>
      <c r="L24" s="120">
        <f>SUM(H24/$H$14)</f>
        <v>0.55555555555555558</v>
      </c>
      <c r="M24" s="121">
        <f>displayValue('Model_Pump Savings'!M24,"FLOW")</f>
        <v>155</v>
      </c>
      <c r="N24" s="121">
        <f>displayValue('Model_Pump Savings'!N24,"VOLUME")</f>
        <v>25559179.03014417</v>
      </c>
      <c r="O24" s="122">
        <f>I24*Home!$F$10</f>
        <v>1343.453195211571</v>
      </c>
      <c r="P24" s="116"/>
      <c r="Q24" s="60" t="str">
        <f>UnitText("VOLUME")</f>
        <v>gallons</v>
      </c>
      <c r="R24" s="103">
        <f>displayValue('Model_Pump Savings'!R24,"VOLUME")</f>
        <v>127795895.15072085</v>
      </c>
      <c r="T24" s="33">
        <v>19</v>
      </c>
      <c r="U24" s="33" t="s">
        <v>95</v>
      </c>
      <c r="V24" s="49" t="s">
        <v>108</v>
      </c>
      <c r="W24" s="167" t="s">
        <v>109</v>
      </c>
      <c r="X24" s="49" t="s">
        <v>984</v>
      </c>
    </row>
    <row r="25" spans="2:27">
      <c r="B25" s="56">
        <v>50</v>
      </c>
      <c r="C25" s="57">
        <f>Home!$E$35*100</f>
        <v>25</v>
      </c>
      <c r="D25" s="23">
        <f>Home!$F$37*C25*0.01</f>
        <v>1374.1494102228048</v>
      </c>
      <c r="E25" s="23">
        <f>displayValue('Model_Pump Savings'!E25,"FLOW")</f>
        <v>387.5</v>
      </c>
      <c r="F25" s="23">
        <f>displayValue('Model_Pump Savings'!F25,"HEAD")</f>
        <v>46.875</v>
      </c>
      <c r="G25" s="58">
        <f>displayValue('Model_Pump Savings'!G25,"POWER")</f>
        <v>6.5526920995670999</v>
      </c>
      <c r="H25" s="104">
        <f>displayValue('Model_Pump Savings'!H25,"THERMAL")</f>
        <v>775000</v>
      </c>
      <c r="I25" s="119">
        <f>(D25*'Model_Pump Savings'!G25)*0.746</f>
        <v>6717.2659760578545</v>
      </c>
      <c r="J25" s="104">
        <f>displayValue('Model_Pump Savings'!J25,"VOLUME")</f>
        <v>31948973.787680212</v>
      </c>
      <c r="K25" s="110"/>
      <c r="L25" s="120">
        <f>SUM(H25/$H$15)</f>
        <v>0.83333333333333337</v>
      </c>
      <c r="M25" s="121">
        <f>displayValue('Model_Pump Savings'!M25,"FLOW")</f>
        <v>232.5</v>
      </c>
      <c r="N25" s="121">
        <f>displayValue('Model_Pump Savings'!N25,"VOLUME")</f>
        <v>19169384.272608127</v>
      </c>
      <c r="O25" s="122">
        <f>I25*Home!$F$10</f>
        <v>671.72659760578551</v>
      </c>
      <c r="P25" s="116"/>
      <c r="Q25" s="60" t="str">
        <f>Tr("AVG_GPM")&amp;" "&amp;UnitText("FLOW")</f>
        <v>Avg GPM</v>
      </c>
      <c r="R25" s="61">
        <f>displayValue('Model_Pump Savings'!R25,"FLOW")</f>
        <v>387.50000000000006</v>
      </c>
      <c r="T25" s="33">
        <v>29</v>
      </c>
      <c r="U25" s="66" t="s">
        <v>96</v>
      </c>
      <c r="V25" s="49" t="s">
        <v>113</v>
      </c>
      <c r="W25" s="167" t="s">
        <v>116</v>
      </c>
      <c r="X25" s="49" t="s">
        <v>985</v>
      </c>
    </row>
    <row r="26" spans="2:27">
      <c r="B26" s="56">
        <v>25</v>
      </c>
      <c r="C26" s="57">
        <f>Home!$E$36*100</f>
        <v>0</v>
      </c>
      <c r="D26" s="23">
        <f>+Home!$F$37*C26*0.01</f>
        <v>0</v>
      </c>
      <c r="E26" s="23">
        <f>displayValue('Model_Pump Savings'!E26,"FLOW")</f>
        <v>232.5</v>
      </c>
      <c r="F26" s="23">
        <f>displayValue('Model_Pump Savings'!F26,"HEAD")</f>
        <v>16.875</v>
      </c>
      <c r="G26" s="58">
        <f>displayValue('Model_Pump Savings'!G26,"POWER")</f>
        <v>1.4153814935064934</v>
      </c>
      <c r="H26" s="104">
        <f>displayValue('Model_Pump Savings'!H26,"THERMAL")</f>
        <v>465000</v>
      </c>
      <c r="I26" s="119">
        <f>(D26*'Model_Pump Savings'!G26)*0.746</f>
        <v>0</v>
      </c>
      <c r="J26" s="104">
        <f>displayValue('Model_Pump Savings'!J26,"VOLUME")</f>
        <v>0</v>
      </c>
      <c r="K26" s="110"/>
      <c r="L26" s="120">
        <f>SUM(H26/$H$16)</f>
        <v>1</v>
      </c>
      <c r="M26" s="121">
        <f>displayValue('Model_Pump Savings'!M26,"FLOW")</f>
        <v>155</v>
      </c>
      <c r="N26" s="121">
        <f>displayValue('Model_Pump Savings'!N26,"VOLUME")</f>
        <v>0</v>
      </c>
      <c r="O26" s="122">
        <f>I26*Home!$F$10</f>
        <v>0</v>
      </c>
      <c r="P26" s="116"/>
      <c r="Q26" s="29" t="str">
        <f>Tr("ENERGY_KWH_HDR","Energy [kWh]")</f>
        <v>Energy [kWh]</v>
      </c>
      <c r="R26" s="104">
        <f>SUMPRODUCT(D23:D26,'Model_Pump Savings'!G23:G26)*0.746</f>
        <v>26869.063904231418</v>
      </c>
      <c r="T26" s="33">
        <v>45</v>
      </c>
      <c r="U26" s="66" t="s">
        <v>97</v>
      </c>
      <c r="V26" s="49" t="s">
        <v>114</v>
      </c>
      <c r="W26" s="167" t="s">
        <v>117</v>
      </c>
      <c r="X26" s="49" t="s">
        <v>986</v>
      </c>
    </row>
    <row r="27" spans="2:27" s="33" customFormat="1">
      <c r="B27" s="69"/>
      <c r="C27" s="117"/>
      <c r="D27" s="105"/>
      <c r="E27" s="105"/>
      <c r="F27" s="105"/>
      <c r="G27" s="115"/>
      <c r="H27" s="112"/>
      <c r="I27" s="108">
        <f>SUM(I23:I26)</f>
        <v>26869.063904231418</v>
      </c>
      <c r="J27" s="108">
        <f>SUM(J23:J26)</f>
        <v>127795895.15072085</v>
      </c>
      <c r="K27" s="112"/>
      <c r="L27" s="118"/>
      <c r="M27" s="116"/>
      <c r="N27" s="116"/>
      <c r="O27" s="108">
        <f>SUM(O23:O26)</f>
        <v>2686.9063904231421</v>
      </c>
      <c r="P27" s="116"/>
      <c r="Q27" s="29"/>
      <c r="R27" s="112"/>
      <c r="T27" s="29">
        <v>67</v>
      </c>
      <c r="U27" s="66" t="s">
        <v>98</v>
      </c>
      <c r="V27" s="49" t="s">
        <v>115</v>
      </c>
      <c r="W27" s="167" t="s">
        <v>117</v>
      </c>
      <c r="X27" s="49" t="s">
        <v>987</v>
      </c>
      <c r="Y27"/>
      <c r="Z27"/>
    </row>
    <row r="28" spans="2:27">
      <c r="B28" s="62" t="s">
        <v>51</v>
      </c>
      <c r="C28" s="62" t="s">
        <v>51</v>
      </c>
      <c r="D28" s="62" t="s">
        <v>51</v>
      </c>
      <c r="E28" s="63"/>
      <c r="F28" s="63"/>
      <c r="S28" s="29"/>
      <c r="T28" s="33">
        <v>101</v>
      </c>
      <c r="U28" s="33" t="s">
        <v>99</v>
      </c>
      <c r="V28" s="49" t="s">
        <v>119</v>
      </c>
      <c r="W28" s="168" t="s">
        <v>118</v>
      </c>
      <c r="X28" s="49" t="s">
        <v>988</v>
      </c>
    </row>
    <row r="29" spans="2:27" ht="13.8">
      <c r="B29" s="50" t="str">
        <f>Tr("CHILLED_WATER_COIL_FLOW_AT_DT")&amp;" ["&amp;UnitText("DELTA")&amp;"]:"</f>
        <v>Chilled Water Coil Flow at Delta T [°F]:</v>
      </c>
      <c r="C29" s="51"/>
      <c r="D29" s="51"/>
      <c r="E29" s="52"/>
      <c r="F29" s="349">
        <f>displayValue('Model_Pump Savings'!F29,"DELTA")</f>
        <v>6</v>
      </c>
      <c r="L29" s="29" t="str">
        <f>UnitText("THERMAL")</f>
        <v>BTU/h</v>
      </c>
      <c r="M29" s="29" t="str">
        <f>Tr("INCREASE_WORD","Increase")</f>
        <v>Increase</v>
      </c>
      <c r="N29" s="29" t="str">
        <f>Tr("ADDITIONAL_TRAIL","Additional ")</f>
        <v xml:space="preserve">Additional </v>
      </c>
      <c r="O29" s="29" t="str">
        <f>Tr("ADDITONAL_TYPO","Additional")</f>
        <v>Additional</v>
      </c>
      <c r="S29" s="105"/>
      <c r="T29" s="33">
        <v>128</v>
      </c>
      <c r="U29" s="33" t="s">
        <v>100</v>
      </c>
      <c r="V29" s="66" t="s">
        <v>120</v>
      </c>
      <c r="W29" s="167" t="s">
        <v>121</v>
      </c>
      <c r="X29" s="33" t="s">
        <v>989</v>
      </c>
    </row>
    <row r="30" spans="2:27">
      <c r="B30" s="29" t="str">
        <f>Tr("LOAD_PCT_HDR","Load [%]")</f>
        <v>Load [%]</v>
      </c>
      <c r="C30" s="54" t="str">
        <f>Tr("TIME_PCT_HDR","Time [%]")</f>
        <v>Time [%]</v>
      </c>
      <c r="D30" s="29" t="str">
        <f>Tr("TIME_H_HDR","Time [h]")</f>
        <v>Time [h]</v>
      </c>
      <c r="E30" s="29" t="str">
        <f>Tr("FLOW_GPM_HDR")&amp;" ["&amp;UnitText("FLOW")&amp;"]"</f>
        <v>Flow [GPM]</v>
      </c>
      <c r="F30" s="29" t="str">
        <f>Tr("HEAD_FT_HDR")&amp;" ["&amp;UnitText("HEAD")&amp;"]"</f>
        <v>Head [ft.]</v>
      </c>
      <c r="G30" s="29" t="str">
        <f>Tr("POWER_HP_HDR")&amp;" ["&amp;UnitText("POWER")&amp;"]"</f>
        <v>Power [HP]</v>
      </c>
      <c r="H30" s="29" t="str">
        <f>UnitText("THERMAL")</f>
        <v>BTU/h</v>
      </c>
      <c r="I30" s="29" t="str">
        <f>Tr("ENERGY_KWH_HDR","Energy [kWh]")</f>
        <v>Energy [kWh]</v>
      </c>
      <c r="J30" s="29" t="str">
        <f>Tr("ANNUAL_GAL")&amp;" "&amp;UnitText("VOLUME")</f>
        <v>Annual gallons</v>
      </c>
      <c r="K30" s="29"/>
      <c r="L30" s="29" t="str">
        <f>Tr("AS_PCT_OF_DESIGN","As % of Design")</f>
        <v>As % of Design</v>
      </c>
      <c r="M30" s="29" t="str">
        <f>Tr("IN_GPM")&amp;" "&amp;UnitText("FLOW")</f>
        <v>In GPM</v>
      </c>
      <c r="N30" s="29" t="str">
        <f>Tr("GAL_PUMPED")&amp;" "&amp;UnitText("VOLUME")</f>
        <v>Pumped gallons</v>
      </c>
      <c r="O30" s="29" t="str">
        <f>Tr("PUMP_COSTS_TITLE","Pump Costs")</f>
        <v>Pump Costs</v>
      </c>
      <c r="P30" s="114"/>
      <c r="Q30" s="105"/>
      <c r="R30" s="29"/>
      <c r="T30" s="33">
        <v>181</v>
      </c>
      <c r="U30" s="33" t="s">
        <v>101</v>
      </c>
      <c r="V30" s="66" t="s">
        <v>122</v>
      </c>
      <c r="W30" s="167" t="s">
        <v>123</v>
      </c>
      <c r="X30" s="33" t="s">
        <v>990</v>
      </c>
    </row>
    <row r="31" spans="2:27">
      <c r="B31" s="56">
        <v>100</v>
      </c>
      <c r="C31" s="57">
        <f>Home!$E$33*100</f>
        <v>25</v>
      </c>
      <c r="D31" s="23">
        <f>+Home!$F$37*C31*0.01</f>
        <v>1374.1494102228048</v>
      </c>
      <c r="E31" s="23">
        <f>displayValue('Model_Pump Savings'!E31,"FLOW")</f>
        <v>387.5</v>
      </c>
      <c r="F31" s="23">
        <f>displayValue('Model_Pump Savings'!F31,"HEAD")</f>
        <v>46.875</v>
      </c>
      <c r="G31" s="58">
        <f>displayValue('Model_Pump Savings'!G31,"POWER")</f>
        <v>6.5526920995670999</v>
      </c>
      <c r="H31" s="104">
        <f>displayValue('Model_Pump Savings'!H31,"THERMAL")</f>
        <v>1162500</v>
      </c>
      <c r="I31" s="119">
        <f>(D31*'Model_Pump Savings'!G31)*0.746</f>
        <v>6717.2659760578545</v>
      </c>
      <c r="J31" s="104">
        <f>displayValue('Model_Pump Savings'!J31,"VOLUME")</f>
        <v>31948973.787680212</v>
      </c>
      <c r="K31" s="66"/>
      <c r="L31" s="120">
        <f>SUM(H31/$H$13)</f>
        <v>0.625</v>
      </c>
      <c r="M31" s="121">
        <f>displayValue('Model_Pump Savings'!M31,"FLOW")</f>
        <v>77.5</v>
      </c>
      <c r="N31" s="121">
        <f>displayValue('Model_Pump Savings'!N31,"VOLUME")</f>
        <v>6389794.7575360425</v>
      </c>
      <c r="O31" s="122">
        <f>I31*Home!$F$10</f>
        <v>671.72659760578551</v>
      </c>
      <c r="P31" s="105"/>
      <c r="Q31" s="29" t="str">
        <f>Tr("PUMP_COSTS_LOWER","Pump costs")</f>
        <v>Pump costs</v>
      </c>
      <c r="R31" s="106">
        <f>R34*Home!$F$10</f>
        <v>2359.1038107915188</v>
      </c>
      <c r="T31" s="33">
        <v>318</v>
      </c>
      <c r="U31" s="33" t="s">
        <v>102</v>
      </c>
      <c r="V31" s="66" t="s">
        <v>124</v>
      </c>
      <c r="W31" s="167" t="s">
        <v>125</v>
      </c>
      <c r="X31" s="33" t="s">
        <v>991</v>
      </c>
    </row>
    <row r="32" spans="2:27">
      <c r="B32" s="56">
        <v>75</v>
      </c>
      <c r="C32" s="57">
        <f>Home!$E$34*100</f>
        <v>50</v>
      </c>
      <c r="D32" s="23">
        <f>+Home!$F$37*C32*0.01</f>
        <v>2748.2988204456096</v>
      </c>
      <c r="E32" s="23">
        <f>displayValue('Model_Pump Savings'!E32,"FLOW")</f>
        <v>387.5</v>
      </c>
      <c r="F32" s="23">
        <f>displayValue('Model_Pump Savings'!F32,"HEAD")</f>
        <v>46.875</v>
      </c>
      <c r="G32" s="58">
        <f>displayValue('Model_Pump Savings'!G32,"POWER")</f>
        <v>6.5526920995670999</v>
      </c>
      <c r="H32" s="104">
        <f>displayValue('Model_Pump Savings'!H32,"THERMAL")</f>
        <v>1162500</v>
      </c>
      <c r="I32" s="119">
        <f>(D32*'Model_Pump Savings'!G32)*0.746</f>
        <v>13434.531952115709</v>
      </c>
      <c r="J32" s="104">
        <f>displayValue('Model_Pump Savings'!J32,"VOLUME")</f>
        <v>63897947.575360425</v>
      </c>
      <c r="K32" s="66"/>
      <c r="L32" s="120">
        <f>SUM(H32/$H$14)</f>
        <v>0.83333333333333337</v>
      </c>
      <c r="M32" s="121">
        <f>displayValue('Model_Pump Savings'!M32,"FLOW")</f>
        <v>155</v>
      </c>
      <c r="N32" s="121">
        <f>displayValue('Model_Pump Savings'!N32,"VOLUME")</f>
        <v>25559179.03014417</v>
      </c>
      <c r="O32" s="122">
        <f>I32*Home!$F$10</f>
        <v>1343.453195211571</v>
      </c>
      <c r="P32" s="105"/>
      <c r="Q32" s="60" t="str">
        <f>Tr("ANNUAL_GAL")&amp;" "&amp;UnitText("VOLUME")</f>
        <v>Annual gallons</v>
      </c>
      <c r="R32" s="103">
        <f>displayValue('Model_Pump Savings'!R32,"VOLUME")</f>
        <v>121406100.39318481</v>
      </c>
      <c r="T32" s="33">
        <v>496</v>
      </c>
      <c r="U32" s="33" t="s">
        <v>103</v>
      </c>
      <c r="V32" s="66" t="s">
        <v>126</v>
      </c>
      <c r="W32" s="167" t="s">
        <v>127</v>
      </c>
      <c r="X32" s="33" t="s">
        <v>992</v>
      </c>
    </row>
    <row r="33" spans="2:26">
      <c r="B33" s="56">
        <v>50</v>
      </c>
      <c r="C33" s="57">
        <f>Home!$E$35*100</f>
        <v>25</v>
      </c>
      <c r="D33" s="23">
        <f>+Home!$F$37*C33*0.01</f>
        <v>1374.1494102228048</v>
      </c>
      <c r="E33" s="23">
        <f>displayValue('Model_Pump Savings'!E33,"FLOW")</f>
        <v>310</v>
      </c>
      <c r="F33" s="23">
        <f>displayValue('Model_Pump Savings'!F33,"HEAD")</f>
        <v>30</v>
      </c>
      <c r="G33" s="58">
        <f>displayValue('Model_Pump Savings'!G33,"POWER")</f>
        <v>3.3549783549783552</v>
      </c>
      <c r="H33" s="104">
        <f>displayValue('Model_Pump Savings'!H33,"THERMAL")</f>
        <v>930000</v>
      </c>
      <c r="I33" s="119">
        <f>(D33*'Model_Pump Savings'!G33)*0.746</f>
        <v>3439.2401797416219</v>
      </c>
      <c r="J33" s="104">
        <f>displayValue('Model_Pump Savings'!J33,"VOLUME")</f>
        <v>25559179.03014417</v>
      </c>
      <c r="K33" s="66"/>
      <c r="L33" s="120">
        <f>SUM(H33/$H$15)</f>
        <v>1</v>
      </c>
      <c r="M33" s="121">
        <f>displayValue('Model_Pump Savings'!M33,"FLOW")</f>
        <v>155</v>
      </c>
      <c r="N33" s="121">
        <f>displayValue('Model_Pump Savings'!N33,"VOLUME")</f>
        <v>12779589.515072085</v>
      </c>
      <c r="O33" s="122">
        <f>I33*Home!$F$10</f>
        <v>343.92401797416221</v>
      </c>
      <c r="P33" s="105"/>
      <c r="Q33" s="60" t="str">
        <f>Tr("AVG_GPM")&amp;" "&amp;UnitText("FLOW")</f>
        <v>Avg GPM</v>
      </c>
      <c r="R33" s="61">
        <f>displayValue('Model_Pump Savings'!R33,"FLOW")</f>
        <v>368.12500000000006</v>
      </c>
      <c r="T33" s="33">
        <v>714</v>
      </c>
      <c r="U33" s="33" t="str">
        <f>Tr("DUAL_EVS","Dual EV's")</f>
        <v>Dual EV's</v>
      </c>
      <c r="V33" s="66" t="str">
        <f>Tr("UP_TO","Up to")&amp;" 1400 gpm"</f>
        <v>Up to 1400 gpm</v>
      </c>
      <c r="W33" s="167"/>
      <c r="X33" s="33" t="str">
        <f>Tr("UP_TO","Up to")&amp;" 5299.6 lpm"</f>
        <v>Up to 5299.6 lpm</v>
      </c>
    </row>
    <row r="34" spans="2:26">
      <c r="B34" s="56">
        <v>25</v>
      </c>
      <c r="C34" s="57">
        <f>Home!$E$36*100</f>
        <v>0</v>
      </c>
      <c r="D34" s="23">
        <f>+Home!$F$37*C34*0.01</f>
        <v>0</v>
      </c>
      <c r="E34" s="23">
        <f>displayValue('Model_Pump Savings'!E34,"FLOW")</f>
        <v>155</v>
      </c>
      <c r="F34" s="23">
        <f>displayValue('Model_Pump Savings'!F34,"HEAD")</f>
        <v>7.5</v>
      </c>
      <c r="G34" s="58">
        <f>displayValue('Model_Pump Savings'!G34,"POWER")</f>
        <v>0.4193722943722944</v>
      </c>
      <c r="H34" s="104">
        <f>displayValue('Model_Pump Savings'!H34,"THERMAL")</f>
        <v>465000</v>
      </c>
      <c r="I34" s="119">
        <f>(D34*'Model_Pump Savings'!G34)*0.746</f>
        <v>0</v>
      </c>
      <c r="J34" s="104">
        <f>displayValue('Model_Pump Savings'!J34,"VOLUME")</f>
        <v>0</v>
      </c>
      <c r="K34" s="66"/>
      <c r="L34" s="120">
        <f>SUM(H34/$H$16)</f>
        <v>1</v>
      </c>
      <c r="M34" s="121">
        <f>displayValue('Model_Pump Savings'!M34,"FLOW")</f>
        <v>77.5</v>
      </c>
      <c r="N34" s="121">
        <f>displayValue('Model_Pump Savings'!N34,"VOLUME")</f>
        <v>0</v>
      </c>
      <c r="O34" s="122">
        <f>I34*Home!$F$10</f>
        <v>0</v>
      </c>
      <c r="P34" s="105"/>
      <c r="Q34" s="29" t="str">
        <f>Tr("ENERGY_KWH_HDR","Energy [kWh]")</f>
        <v>Energy [kWh]</v>
      </c>
      <c r="R34" s="104">
        <f>SUMPRODUCT(D31:D34,'Model_Pump Savings'!G31:G34)*0.746</f>
        <v>23591.038107915185</v>
      </c>
      <c r="U34" s="66"/>
    </row>
    <row r="35" spans="2:26" s="33" customFormat="1">
      <c r="B35" s="69"/>
      <c r="C35" s="117"/>
      <c r="D35" s="105"/>
      <c r="E35" s="105"/>
      <c r="F35" s="105"/>
      <c r="G35" s="115"/>
      <c r="H35" s="112"/>
      <c r="I35" s="108">
        <f>SUM(I31:I34)</f>
        <v>23591.038107915185</v>
      </c>
      <c r="J35" s="108">
        <f>SUM(J31:J34)</f>
        <v>121406100.39318481</v>
      </c>
      <c r="K35" s="112"/>
      <c r="L35" s="118"/>
      <c r="M35" s="116"/>
      <c r="N35" s="116"/>
      <c r="O35" s="108">
        <f>SUM(O31:O34)</f>
        <v>2359.1038107915188</v>
      </c>
      <c r="P35" s="116"/>
      <c r="Q35" s="29"/>
      <c r="R35" s="112"/>
      <c r="S35" s="49"/>
      <c r="U35" s="29"/>
      <c r="V35" s="66"/>
      <c r="W35" s="49"/>
      <c r="X35" s="49"/>
      <c r="Y35"/>
      <c r="Z35"/>
    </row>
    <row r="36" spans="2:26">
      <c r="B36" s="62" t="s">
        <v>51</v>
      </c>
      <c r="C36" s="62" t="s">
        <v>51</v>
      </c>
      <c r="D36" s="62" t="s">
        <v>51</v>
      </c>
      <c r="E36" s="63"/>
      <c r="F36" s="63"/>
      <c r="S36" s="33"/>
      <c r="V36" s="66"/>
    </row>
    <row r="37" spans="2:26" ht="13.8">
      <c r="B37" s="50" t="str">
        <f>Tr("CHILLED_WATER_COIL_FLOW_AT_DT")&amp;" ["&amp;UnitText("DELTA")&amp;"]:"</f>
        <v>Chilled Water Coil Flow at Delta T [°F]:</v>
      </c>
      <c r="C37" s="51"/>
      <c r="D37" s="51"/>
      <c r="E37" s="52"/>
      <c r="F37" s="349">
        <f>displayValue('Model_Pump Savings'!F37,"DELTA")</f>
        <v>8</v>
      </c>
      <c r="L37" s="29" t="str">
        <f>UnitText("THERMAL")</f>
        <v>BTU/h</v>
      </c>
      <c r="M37" s="29" t="str">
        <f>Tr("INCREASE_WORD","Increase")</f>
        <v>Increase</v>
      </c>
      <c r="N37" s="29" t="str">
        <f>Tr("ADDITIONAL_TRAIL","Additional ")</f>
        <v xml:space="preserve">Additional </v>
      </c>
      <c r="O37" s="29" t="str">
        <f>Tr("ADDITONAL_TYPO","Additional")</f>
        <v>Additional</v>
      </c>
      <c r="S37" s="105"/>
      <c r="V37" s="66"/>
    </row>
    <row r="38" spans="2:26">
      <c r="B38" s="29" t="str">
        <f>Tr("LOAD_PCT_HDR","Load [%]")</f>
        <v>Load [%]</v>
      </c>
      <c r="C38" s="54" t="str">
        <f>Tr("TIME_PCT_HDR","Time [%]")</f>
        <v>Time [%]</v>
      </c>
      <c r="D38" s="29" t="str">
        <f>Tr("TIME_H_HDR","Time [h]")</f>
        <v>Time [h]</v>
      </c>
      <c r="E38" s="29" t="str">
        <f>Tr("FLOW_GPM_HDR")&amp;" ["&amp;UnitText("FLOW")&amp;"]"</f>
        <v>Flow [GPM]</v>
      </c>
      <c r="F38" s="29" t="str">
        <f>Tr("HEAD_FT_HDR")&amp;" ["&amp;UnitText("HEAD")&amp;"]"</f>
        <v>Head [ft.]</v>
      </c>
      <c r="G38" s="29" t="str">
        <f>Tr("POWER_HP_HDR")&amp;" ["&amp;UnitText("POWER")&amp;"]"</f>
        <v>Power [HP]</v>
      </c>
      <c r="H38" s="29" t="str">
        <f>UnitText("THERMAL")</f>
        <v>BTU/h</v>
      </c>
      <c r="I38" s="29" t="str">
        <f>Tr("ENERGY_KWH_HDR","Energy [kWh]")</f>
        <v>Energy [kWh]</v>
      </c>
      <c r="J38" s="29" t="str">
        <f>Tr("ANNUAL_GAL")&amp;" "&amp;UnitText("VOLUME")</f>
        <v>Annual gallons</v>
      </c>
      <c r="K38" s="29"/>
      <c r="L38" s="29" t="str">
        <f>Tr("AS_PCT_OF_DESIGN","As % of Design")</f>
        <v>As % of Design</v>
      </c>
      <c r="M38" s="29" t="str">
        <f>Tr("IN_GPM")&amp;" "&amp;UnitText("FLOW")</f>
        <v>In GPM</v>
      </c>
      <c r="N38" s="29" t="str">
        <f>Tr("GAL_PUMPED")&amp;" "&amp;UnitText("VOLUME")</f>
        <v>Pumped gallons</v>
      </c>
      <c r="O38" s="29" t="str">
        <f>Tr("PUMP_COSTS_TITLE","Pump Costs")</f>
        <v>Pump Costs</v>
      </c>
      <c r="P38" s="114"/>
      <c r="Q38" s="29"/>
      <c r="R38" s="29" t="str">
        <f>Tr("PUMP_COSTS_LOWER","Pump costs")</f>
        <v>Pump costs</v>
      </c>
      <c r="V38" s="66"/>
    </row>
    <row r="39" spans="2:26">
      <c r="B39" s="56">
        <v>100</v>
      </c>
      <c r="C39" s="57">
        <f>Home!$E$33*100</f>
        <v>25</v>
      </c>
      <c r="D39" s="23">
        <f>+Home!$F$37*C39*0.01</f>
        <v>1374.1494102228048</v>
      </c>
      <c r="E39" s="23">
        <f>displayValue('Model_Pump Savings'!E39,"FLOW")</f>
        <v>387.5</v>
      </c>
      <c r="F39" s="23">
        <f>displayValue('Model_Pump Savings'!F39,"HEAD")</f>
        <v>46.875</v>
      </c>
      <c r="G39" s="58">
        <f>displayValue('Model_Pump Savings'!G39,"POWER")</f>
        <v>6.5526920995670999</v>
      </c>
      <c r="H39" s="104">
        <f>displayValue('Model_Pump Savings'!H39,"THERMAL")</f>
        <v>1550000</v>
      </c>
      <c r="I39" s="119">
        <f>(D39*'Model_Pump Savings'!G39)*0.746</f>
        <v>6717.2659760578545</v>
      </c>
      <c r="J39" s="104">
        <f>displayValue('Model_Pump Savings'!J39,"VOLUME")</f>
        <v>31948973.787680212</v>
      </c>
      <c r="K39" s="66"/>
      <c r="L39" s="120">
        <f>SUM(H39/$H$13)</f>
        <v>0.83333333333333337</v>
      </c>
      <c r="M39" s="121">
        <f>displayValue('Model_Pump Savings'!M39,"FLOW")</f>
        <v>77.5</v>
      </c>
      <c r="N39" s="121">
        <f>displayValue('Model_Pump Savings'!N39,"VOLUME")</f>
        <v>6389794.7575360425</v>
      </c>
      <c r="O39" s="122">
        <f>I39*Home!$F$10</f>
        <v>671.72659760578551</v>
      </c>
      <c r="P39" s="105"/>
      <c r="Q39" s="29" t="str">
        <f>Tr("PUMP_COSTS_LOWER","Pump costs")</f>
        <v>Pump costs</v>
      </c>
      <c r="R39" s="106">
        <f>R42*Home!$F$10</f>
        <v>1796.1969219978707</v>
      </c>
      <c r="V39" s="66"/>
    </row>
    <row r="40" spans="2:26">
      <c r="B40" s="56">
        <v>75</v>
      </c>
      <c r="C40" s="57">
        <f>Home!$E$34*100</f>
        <v>50</v>
      </c>
      <c r="D40" s="23">
        <f>+Home!$F$37*C40*0.01</f>
        <v>2748.2988204456096</v>
      </c>
      <c r="E40" s="23">
        <f>displayValue('Model_Pump Savings'!E40,"FLOW")</f>
        <v>348.75</v>
      </c>
      <c r="F40" s="23">
        <f>displayValue('Model_Pump Savings'!F40,"HEAD")</f>
        <v>37.96875</v>
      </c>
      <c r="G40" s="58">
        <f>displayValue('Model_Pump Savings'!G40,"POWER")</f>
        <v>4.7769125405844157</v>
      </c>
      <c r="H40" s="104">
        <f>displayValue('Model_Pump Savings'!H40,"THERMAL")</f>
        <v>1395000</v>
      </c>
      <c r="I40" s="119">
        <f>(D40*'Model_Pump Savings'!G40)*0.746</f>
        <v>9793.7737930923522</v>
      </c>
      <c r="J40" s="104">
        <f>displayValue('Model_Pump Savings'!J40,"VOLUME")</f>
        <v>57508152.817824379</v>
      </c>
      <c r="K40" s="66"/>
      <c r="L40" s="120">
        <f>SUM(H40/$H$14)</f>
        <v>1</v>
      </c>
      <c r="M40" s="121">
        <f>displayValue('Model_Pump Savings'!M40,"FLOW")</f>
        <v>116.25</v>
      </c>
      <c r="N40" s="121">
        <f>displayValue('Model_Pump Savings'!N40,"VOLUME")</f>
        <v>19169384.272608124</v>
      </c>
      <c r="O40" s="122">
        <f>I40*Home!$F$10</f>
        <v>979.37737930923527</v>
      </c>
      <c r="P40" s="105"/>
      <c r="Q40" s="60" t="str">
        <f>Tr("ANNUAL_GAL")&amp;" "&amp;UnitText("VOLUME")</f>
        <v>Annual gallons</v>
      </c>
      <c r="R40" s="104">
        <f>displayValue('Model_Pump Savings'!R40,"VOLUME")</f>
        <v>108626510.87811272</v>
      </c>
      <c r="V40" s="66"/>
    </row>
    <row r="41" spans="2:26">
      <c r="B41" s="56">
        <v>50</v>
      </c>
      <c r="C41" s="57">
        <f>Home!$E$35*100</f>
        <v>25</v>
      </c>
      <c r="D41" s="23">
        <f>+Home!$F$37*C41*0.01</f>
        <v>1374.1494102228048</v>
      </c>
      <c r="E41" s="23">
        <f>displayValue('Model_Pump Savings'!E41,"FLOW")</f>
        <v>232.5</v>
      </c>
      <c r="F41" s="23">
        <f>displayValue('Model_Pump Savings'!F41,"HEAD")</f>
        <v>16.875</v>
      </c>
      <c r="G41" s="58">
        <f>displayValue('Model_Pump Savings'!G41,"POWER")</f>
        <v>1.4153814935064934</v>
      </c>
      <c r="H41" s="104">
        <f>displayValue('Model_Pump Savings'!H41,"THERMAL")</f>
        <v>930000</v>
      </c>
      <c r="I41" s="119">
        <f>(D41*'Model_Pump Savings'!G41)*0.746</f>
        <v>1450.9294508284966</v>
      </c>
      <c r="J41" s="104">
        <f>displayValue('Model_Pump Savings'!J41,"VOLUME")</f>
        <v>19169384.272608127</v>
      </c>
      <c r="K41" s="66"/>
      <c r="L41" s="120">
        <f>SUM(H41/$H$15)</f>
        <v>1</v>
      </c>
      <c r="M41" s="121">
        <f>displayValue('Model_Pump Savings'!M41,"FLOW")</f>
        <v>77.5</v>
      </c>
      <c r="N41" s="121">
        <f>displayValue('Model_Pump Savings'!N41,"VOLUME")</f>
        <v>6389794.7575360425</v>
      </c>
      <c r="O41" s="122">
        <f>I41*Home!$F$10</f>
        <v>145.09294508284967</v>
      </c>
      <c r="P41" s="105"/>
      <c r="Q41" s="60" t="str">
        <f>Tr("AVG_GPM")&amp;" "&amp;UnitText("FLOW")</f>
        <v>Avg GPM</v>
      </c>
      <c r="R41" s="61">
        <f>displayValue('Model_Pump Savings'!R41,"FLOW")</f>
        <v>329.375</v>
      </c>
      <c r="V41" s="66"/>
    </row>
    <row r="42" spans="2:26">
      <c r="B42" s="56">
        <v>25</v>
      </c>
      <c r="C42" s="57">
        <f>Home!$E$36*100</f>
        <v>0</v>
      </c>
      <c r="D42" s="23">
        <f>+Home!$F$37*C42*0.01</f>
        <v>0</v>
      </c>
      <c r="E42" s="23">
        <f>displayValue('Model_Pump Savings'!E42,"FLOW")</f>
        <v>116.25</v>
      </c>
      <c r="F42" s="23">
        <f>displayValue('Model_Pump Savings'!F42,"HEAD")</f>
        <v>4.21875</v>
      </c>
      <c r="G42" s="58">
        <f>displayValue('Model_Pump Savings'!G42,"POWER")</f>
        <v>0.17692268668831168</v>
      </c>
      <c r="H42" s="104">
        <f>displayValue('Model_Pump Savings'!H42,"THERMAL")</f>
        <v>465000</v>
      </c>
      <c r="I42" s="119">
        <f>(D42*'Model_Pump Savings'!G42)*0.746</f>
        <v>0</v>
      </c>
      <c r="J42" s="104">
        <f>displayValue('Model_Pump Savings'!J42,"VOLUME")</f>
        <v>0</v>
      </c>
      <c r="K42" s="66"/>
      <c r="L42" s="120">
        <f>SUM(H42/$H$16)</f>
        <v>1</v>
      </c>
      <c r="M42" s="121">
        <f>displayValue('Model_Pump Savings'!M42,"FLOW")</f>
        <v>38.75</v>
      </c>
      <c r="N42" s="121">
        <f>displayValue('Model_Pump Savings'!N42,"VOLUME")</f>
        <v>0</v>
      </c>
      <c r="O42" s="122">
        <f>I42*Home!$F$10</f>
        <v>0</v>
      </c>
      <c r="P42" s="105"/>
      <c r="Q42" s="29" t="str">
        <f>Tr("ENERGY_KWH_HDR","Energy [kWh]")</f>
        <v>Energy [kWh]</v>
      </c>
      <c r="R42" s="104">
        <f>SUMPRODUCT(D39:D42,'Model_Pump Savings'!G39:G42)*0.746</f>
        <v>17961.969219978706</v>
      </c>
      <c r="U42" s="66"/>
    </row>
    <row r="43" spans="2:26">
      <c r="B43" s="69"/>
      <c r="C43" s="117"/>
      <c r="D43" s="105"/>
      <c r="E43" s="105"/>
      <c r="F43" s="105"/>
      <c r="G43" s="115"/>
      <c r="H43" s="112"/>
      <c r="I43" s="108">
        <f>SUM(I39:I42)</f>
        <v>17961.969219978702</v>
      </c>
      <c r="J43" s="108">
        <f>SUM(J39:J42)</f>
        <v>108626510.87811272</v>
      </c>
      <c r="K43" s="112"/>
      <c r="L43" s="118"/>
      <c r="M43" s="116"/>
      <c r="N43" s="116"/>
      <c r="O43" s="108">
        <f>SUM(O39:O42)</f>
        <v>1796.1969219978703</v>
      </c>
      <c r="P43" s="116"/>
      <c r="Q43" s="29"/>
      <c r="R43" s="112"/>
      <c r="U43" s="66"/>
    </row>
    <row r="44" spans="2:26">
      <c r="B44" s="69"/>
      <c r="C44" s="117"/>
      <c r="D44" s="105"/>
      <c r="E44" s="105"/>
      <c r="F44" s="105"/>
      <c r="G44" s="115"/>
      <c r="H44" s="112"/>
      <c r="I44" s="108"/>
      <c r="J44" s="108"/>
      <c r="K44" s="112"/>
      <c r="L44" s="118"/>
      <c r="M44" s="116"/>
      <c r="N44" s="116"/>
      <c r="O44" s="108"/>
      <c r="P44" s="116"/>
      <c r="Q44" s="29"/>
      <c r="R44" s="112"/>
      <c r="S44" s="33"/>
      <c r="V44" s="66"/>
    </row>
    <row r="45" spans="2:26" ht="13.8">
      <c r="B45" s="50" t="str">
        <f>Tr("CHILLED_WATER_COIL_FLOW_AT_DT")&amp;" ["&amp;UnitText("DELTA")&amp;"]:"</f>
        <v>Chilled Water Coil Flow at Delta T [°F]:</v>
      </c>
      <c r="C45" s="51"/>
      <c r="D45" s="51"/>
      <c r="E45" s="52"/>
      <c r="F45" s="349">
        <f>displayValue('Model_Pump Savings'!F45,"DELTA")</f>
        <v>10</v>
      </c>
      <c r="L45" s="29" t="str">
        <f>UnitText("THERMAL")</f>
        <v>BTU/h</v>
      </c>
      <c r="M45" s="29" t="str">
        <f>Tr("INCREASE_WORD","Increase")</f>
        <v>Increase</v>
      </c>
      <c r="N45" s="29" t="str">
        <f>Tr("ADDITIONAL_TRAIL","Additional ")</f>
        <v xml:space="preserve">Additional </v>
      </c>
      <c r="O45" s="29" t="str">
        <f>Tr("ADDITONAL_TYPO","Additional")</f>
        <v>Additional</v>
      </c>
      <c r="V45" s="66"/>
    </row>
    <row r="46" spans="2:26">
      <c r="B46" s="29" t="str">
        <f>Tr("LOAD_PCT_HDR","Load [%]")</f>
        <v>Load [%]</v>
      </c>
      <c r="C46" s="54" t="str">
        <f>Tr("TIME_PCT_HDR","Time [%]")</f>
        <v>Time [%]</v>
      </c>
      <c r="D46" s="29" t="str">
        <f>Tr("TIME_H_HDR","Time [h]")</f>
        <v>Time [h]</v>
      </c>
      <c r="E46" s="29" t="str">
        <f>Tr("FLOW_GPM_HDR")&amp;" ["&amp;UnitText("FLOW")&amp;"]"</f>
        <v>Flow [GPM]</v>
      </c>
      <c r="F46" s="29" t="str">
        <f>Tr("HEAD_FT_HDR")&amp;" ["&amp;UnitText("HEAD")&amp;"]"</f>
        <v>Head [ft.]</v>
      </c>
      <c r="G46" s="29" t="str">
        <f>Tr("POWER_HP_HDR")&amp;" ["&amp;UnitText("POWER")&amp;"]"</f>
        <v>Power [HP]</v>
      </c>
      <c r="H46" s="29" t="str">
        <f>UnitText("THERMAL")</f>
        <v>BTU/h</v>
      </c>
      <c r="I46" s="29" t="str">
        <f>Tr("ENERGY_KWH_HDR","Energy [kWh]")</f>
        <v>Energy [kWh]</v>
      </c>
      <c r="J46" s="29" t="str">
        <f>Tr("ANNUAL_GAL")&amp;" "&amp;UnitText("VOLUME")</f>
        <v>Annual gallons</v>
      </c>
      <c r="K46" s="29"/>
      <c r="L46" s="29" t="str">
        <f>Tr("AS_PCT_OF_DESIGN","As % of Design")</f>
        <v>As % of Design</v>
      </c>
      <c r="M46" s="29" t="str">
        <f>Tr("IN_GPM")&amp;" "&amp;UnitText("FLOW")</f>
        <v>In GPM</v>
      </c>
      <c r="N46" s="29" t="str">
        <f>Tr("GAL_PUMPED")&amp;" "&amp;UnitText("VOLUME")</f>
        <v>Pumped gallons</v>
      </c>
      <c r="O46" s="29" t="str">
        <f>Tr("PUMP_COSTS_TITLE","Pump Costs")</f>
        <v>Pump Costs</v>
      </c>
      <c r="P46" s="114"/>
      <c r="Q46" s="29"/>
      <c r="R46" s="29" t="str">
        <f>Tr("PUMP_COSTS_LOWER","Pump costs")</f>
        <v>Pump costs</v>
      </c>
      <c r="V46" s="66"/>
    </row>
    <row r="47" spans="2:26">
      <c r="B47" s="56">
        <v>100</v>
      </c>
      <c r="C47" s="57">
        <f>Home!$E$33*100</f>
        <v>25</v>
      </c>
      <c r="D47" s="23">
        <f>+Home!$F$37*C47*0.01</f>
        <v>1374.1494102228048</v>
      </c>
      <c r="E47" s="23">
        <f>displayValue('Model_Pump Savings'!E47,"FLOW")</f>
        <v>372</v>
      </c>
      <c r="F47" s="23">
        <f>displayValue('Model_Pump Savings'!F47,"HEAD")</f>
        <v>43.199999999999996</v>
      </c>
      <c r="G47" s="58">
        <f>displayValue('Model_Pump Savings'!G47,"POWER")</f>
        <v>5.7974025974025967</v>
      </c>
      <c r="H47" s="104">
        <f>displayValue('Model_Pump Savings'!H47,"THERMAL")</f>
        <v>1860000</v>
      </c>
      <c r="I47" s="119">
        <f>(D47*'Model_Pump Savings'!G47)*0.746</f>
        <v>5943.0070305935214</v>
      </c>
      <c r="J47" s="104">
        <f>displayValue('Model_Pump Savings'!J47,"VOLUME")</f>
        <v>30671014.836173005</v>
      </c>
      <c r="K47" s="66"/>
      <c r="L47" s="120">
        <f>SUM(H47/$H$13)</f>
        <v>1</v>
      </c>
      <c r="M47" s="121">
        <f>displayValue('Model_Pump Savings'!M47,"FLOW")</f>
        <v>62</v>
      </c>
      <c r="N47" s="121">
        <f>displayValue('Model_Pump Savings'!N47,"VOLUME")</f>
        <v>5111835.8060288355</v>
      </c>
      <c r="O47" s="122">
        <f>I47*Home!$F$10</f>
        <v>594.30070305935214</v>
      </c>
      <c r="P47" s="105"/>
      <c r="Q47" s="29" t="str">
        <f>Tr("PUMP_COSTS_LOWER","Pump costs")</f>
        <v>Pump costs</v>
      </c>
      <c r="R47" s="59">
        <f>R50*Home!$F$10</f>
        <v>1170.0295091480994</v>
      </c>
      <c r="V47" s="66"/>
    </row>
    <row r="48" spans="2:26">
      <c r="B48" s="56">
        <v>75</v>
      </c>
      <c r="C48" s="57">
        <f>Home!$E$34*100</f>
        <v>50</v>
      </c>
      <c r="D48" s="23">
        <f>+Home!$F$37*C48*0.01</f>
        <v>2748.2988204456096</v>
      </c>
      <c r="E48" s="23">
        <f>displayValue('Model_Pump Savings'!E48,"FLOW")</f>
        <v>279</v>
      </c>
      <c r="F48" s="23">
        <f>displayValue('Model_Pump Savings'!F48,"HEAD")</f>
        <v>24.3</v>
      </c>
      <c r="G48" s="58">
        <f>displayValue('Model_Pump Savings'!G48,"POWER")</f>
        <v>2.4457792207792206</v>
      </c>
      <c r="H48" s="104">
        <f>displayValue('Model_Pump Savings'!H48,"THERMAL")</f>
        <v>1395000</v>
      </c>
      <c r="I48" s="119">
        <f>(D48*'Model_Pump Savings'!G48)*0.746</f>
        <v>5014.4121820632836</v>
      </c>
      <c r="J48" s="104">
        <f>displayValue('Model_Pump Savings'!J48,"VOLUME")</f>
        <v>46006522.254259504</v>
      </c>
      <c r="K48" s="66"/>
      <c r="L48" s="120">
        <f>SUM(H48/$H$14)</f>
        <v>1</v>
      </c>
      <c r="M48" s="121">
        <f>displayValue('Model_Pump Savings'!M48,"FLOW")</f>
        <v>46.5</v>
      </c>
      <c r="N48" s="121">
        <f>displayValue('Model_Pump Savings'!N48,"VOLUME")</f>
        <v>7667753.7090432495</v>
      </c>
      <c r="O48" s="122">
        <f>I48*Home!$F$10</f>
        <v>501.44121820632836</v>
      </c>
      <c r="P48" s="105"/>
      <c r="Q48" s="60" t="str">
        <f>Tr("ANNUAL_GAL")&amp;" "&amp;UnitText("VOLUME")</f>
        <v>Annual gallons</v>
      </c>
      <c r="R48" s="104">
        <f>displayValue('Model_Pump Savings'!R48,"VOLUME")</f>
        <v>92013044.508519009</v>
      </c>
      <c r="V48" s="66"/>
    </row>
    <row r="49" spans="2:22">
      <c r="B49" s="56">
        <v>50</v>
      </c>
      <c r="C49" s="57">
        <f>Home!$E$35*100</f>
        <v>25</v>
      </c>
      <c r="D49" s="23">
        <f>+Home!$F$37*C49*0.01</f>
        <v>1374.1494102228048</v>
      </c>
      <c r="E49" s="23">
        <f>displayValue('Model_Pump Savings'!E49,"FLOW")</f>
        <v>186</v>
      </c>
      <c r="F49" s="23">
        <f>displayValue('Model_Pump Savings'!F49,"HEAD")</f>
        <v>10.799999999999999</v>
      </c>
      <c r="G49" s="58">
        <f>displayValue('Model_Pump Savings'!G49,"POWER")</f>
        <v>0.72467532467532458</v>
      </c>
      <c r="H49" s="104">
        <f>displayValue('Model_Pump Savings'!H49,"THERMAL")</f>
        <v>930000</v>
      </c>
      <c r="I49" s="119">
        <f>(D49*'Model_Pump Savings'!G49)*0.746</f>
        <v>742.87587882419018</v>
      </c>
      <c r="J49" s="104">
        <f>displayValue('Model_Pump Savings'!J49,"VOLUME")</f>
        <v>15335507.418086503</v>
      </c>
      <c r="K49" s="66"/>
      <c r="L49" s="120">
        <f>SUM(H49/$H$15)</f>
        <v>1</v>
      </c>
      <c r="M49" s="121">
        <f>displayValue('Model_Pump Savings'!M49,"FLOW")</f>
        <v>31</v>
      </c>
      <c r="N49" s="121">
        <f>displayValue('Model_Pump Savings'!N49,"VOLUME")</f>
        <v>2555917.9030144177</v>
      </c>
      <c r="O49" s="122">
        <f>I49*Home!$F$10</f>
        <v>74.287587882419018</v>
      </c>
      <c r="P49" s="105"/>
      <c r="Q49" s="60" t="str">
        <f>Tr("AVG_GPM")&amp;" "&amp;UnitText("FLOW")</f>
        <v>Avg GPM</v>
      </c>
      <c r="R49" s="61">
        <f>displayValue('Model_Pump Savings'!R49,"FLOW")</f>
        <v>279</v>
      </c>
      <c r="V49" s="66"/>
    </row>
    <row r="50" spans="2:22">
      <c r="B50" s="56">
        <v>25</v>
      </c>
      <c r="C50" s="57">
        <f>Home!$E$36*100</f>
        <v>0</v>
      </c>
      <c r="D50" s="23">
        <f>+Home!$F$37*C50*0.01</f>
        <v>0</v>
      </c>
      <c r="E50" s="23">
        <f>displayValue('Model_Pump Savings'!E50,"FLOW")</f>
        <v>93</v>
      </c>
      <c r="F50" s="23">
        <f>displayValue('Model_Pump Savings'!F50,"HEAD")</f>
        <v>2.6999999999999997</v>
      </c>
      <c r="G50" s="58">
        <f>displayValue('Model_Pump Savings'!G50,"POWER")</f>
        <v>9.0584415584415573E-2</v>
      </c>
      <c r="H50" s="104">
        <f>displayValue('Model_Pump Savings'!H50,"THERMAL")</f>
        <v>465000</v>
      </c>
      <c r="I50" s="119">
        <f>(D50*'Model_Pump Savings'!G50)*0.746</f>
        <v>0</v>
      </c>
      <c r="J50" s="104">
        <f>displayValue('Model_Pump Savings'!J50,"VOLUME")</f>
        <v>0</v>
      </c>
      <c r="K50" s="66"/>
      <c r="L50" s="120">
        <f>SUM(H50/$H$16)</f>
        <v>1</v>
      </c>
      <c r="M50" s="121">
        <f>displayValue('Model_Pump Savings'!M50,"FLOW")</f>
        <v>15.5</v>
      </c>
      <c r="N50" s="121">
        <f>displayValue('Model_Pump Savings'!N50,"VOLUME")</f>
        <v>0</v>
      </c>
      <c r="O50" s="122">
        <f>I50*Home!$F$10</f>
        <v>0</v>
      </c>
      <c r="P50" s="105"/>
      <c r="Q50" s="29" t="str">
        <f>Tr("ENERGY_KWH_HDR","Energy [kWh]")</f>
        <v>Energy [kWh]</v>
      </c>
      <c r="R50" s="104">
        <f>SUMPRODUCT(D47:D50,'Model_Pump Savings'!G47:G50)*0.746</f>
        <v>11700.295091480994</v>
      </c>
      <c r="U50" s="66"/>
    </row>
    <row r="51" spans="2:22">
      <c r="B51" s="69"/>
      <c r="C51" s="117"/>
      <c r="D51" s="105"/>
      <c r="E51" s="105"/>
      <c r="F51" s="105"/>
      <c r="G51" s="115"/>
      <c r="H51" s="112"/>
      <c r="I51" s="108">
        <f>SUM(I47:I50)</f>
        <v>11700.295091480995</v>
      </c>
      <c r="J51" s="108">
        <f>SUM(J47:J50)</f>
        <v>92013044.508519009</v>
      </c>
      <c r="K51" s="112"/>
      <c r="L51" s="118"/>
      <c r="M51" s="116"/>
      <c r="N51" s="116"/>
      <c r="O51" s="108">
        <f>SUM(O47:O50)</f>
        <v>1170.0295091480996</v>
      </c>
      <c r="P51" s="116"/>
      <c r="Q51" s="29"/>
      <c r="R51" s="112"/>
      <c r="U51" s="66"/>
    </row>
    <row r="52" spans="2:22">
      <c r="B52" s="69"/>
      <c r="C52" s="117"/>
      <c r="D52" s="105"/>
      <c r="E52" s="105"/>
      <c r="F52" s="105"/>
      <c r="G52" s="115"/>
      <c r="H52" s="112"/>
      <c r="I52" s="108"/>
      <c r="J52" s="108"/>
      <c r="K52" s="112"/>
      <c r="L52" s="118"/>
      <c r="M52" s="116"/>
      <c r="N52" s="116"/>
      <c r="O52" s="108"/>
      <c r="P52" s="116"/>
      <c r="Q52" s="29"/>
      <c r="R52" s="112"/>
      <c r="S52" s="33"/>
      <c r="V52" s="66"/>
    </row>
    <row r="53" spans="2:22" ht="13.8">
      <c r="B53" s="50" t="str">
        <f>Tr("CHILLED_WATER_COIL_FLOW_AT_DT")&amp;" ["&amp;UnitText("DELTA")&amp;"]:"</f>
        <v>Chilled Water Coil Flow at Delta T [°F]:</v>
      </c>
      <c r="C53" s="51"/>
      <c r="D53" s="51"/>
      <c r="E53" s="52"/>
      <c r="F53" s="349">
        <f>displayValue('Model_Pump Savings'!F53,"DELTA")</f>
        <v>12</v>
      </c>
      <c r="L53" s="29" t="str">
        <f>UnitText("THERMAL")</f>
        <v>BTU/h</v>
      </c>
      <c r="M53" s="29" t="str">
        <f>Tr("INCREASE_WORD","Increase")</f>
        <v>Increase</v>
      </c>
      <c r="N53" s="29" t="str">
        <f>Tr("ADDITIONAL_TRAIL","Additional ")</f>
        <v xml:space="preserve">Additional </v>
      </c>
      <c r="O53" s="29" t="str">
        <f>Tr("ADDITONAL_TYPO","Additional")</f>
        <v>Additional</v>
      </c>
      <c r="V53" s="66"/>
    </row>
    <row r="54" spans="2:22">
      <c r="B54" s="29" t="str">
        <f>Tr("LOAD_PCT_HDR","Load [%]")</f>
        <v>Load [%]</v>
      </c>
      <c r="C54" s="54" t="str">
        <f>Tr("TIME_PCT_HDR","Time [%]")</f>
        <v>Time [%]</v>
      </c>
      <c r="D54" s="29" t="str">
        <f>Tr("TIME_H_HDR","Time [h]")</f>
        <v>Time [h]</v>
      </c>
      <c r="E54" s="29" t="str">
        <f>Tr("FLOW_GPM_HDR")&amp;" ["&amp;UnitText("FLOW")&amp;"]"</f>
        <v>Flow [GPM]</v>
      </c>
      <c r="F54" s="29" t="str">
        <f>Tr("HEAD_FT_HDR")&amp;" ["&amp;UnitText("HEAD")&amp;"]"</f>
        <v>Head [ft.]</v>
      </c>
      <c r="G54" s="29" t="str">
        <f>Tr("POWER_HP_HDR")&amp;" ["&amp;UnitText("POWER")&amp;"]"</f>
        <v>Power [HP]</v>
      </c>
      <c r="H54" s="29" t="str">
        <f>UnitText("THERMAL")</f>
        <v>BTU/h</v>
      </c>
      <c r="I54" s="29" t="str">
        <f>Tr("ENERGY_KWH_HDR","Energy [kWh]")</f>
        <v>Energy [kWh]</v>
      </c>
      <c r="J54" s="29" t="str">
        <f>Tr("ANNUAL_GAL")&amp;" "&amp;UnitText("VOLUME")</f>
        <v>Annual gallons</v>
      </c>
      <c r="K54" s="29"/>
      <c r="L54" s="29" t="str">
        <f>Tr("AS_PCT_OF_DESIGN","As % of Design")</f>
        <v>As % of Design</v>
      </c>
      <c r="M54" s="29" t="str">
        <f>Tr("IN_GPM")&amp;" "&amp;UnitText("FLOW")</f>
        <v>In GPM</v>
      </c>
      <c r="N54" s="29" t="str">
        <f>Tr("GAL_PUMPED")&amp;" "&amp;UnitText("VOLUME")</f>
        <v>Pumped gallons</v>
      </c>
      <c r="O54" s="29" t="str">
        <f>Tr("PUMP_COSTS_TITLE","Pump Costs")</f>
        <v>Pump Costs</v>
      </c>
      <c r="P54" s="114"/>
      <c r="Q54" s="29"/>
      <c r="R54" s="29" t="str">
        <f>Tr("PUMP_COSTS_LOWER","Pump costs")</f>
        <v>Pump costs</v>
      </c>
      <c r="V54" s="66"/>
    </row>
    <row r="55" spans="2:22">
      <c r="B55" s="56">
        <v>100</v>
      </c>
      <c r="C55" s="57">
        <f>Home!$E$33*100</f>
        <v>25</v>
      </c>
      <c r="D55" s="23">
        <f>+Home!$F$37*C55*0.01</f>
        <v>1374.1494102228048</v>
      </c>
      <c r="E55" s="23">
        <f>displayValue('Model_Pump Savings'!E55,"FLOW")</f>
        <v>310</v>
      </c>
      <c r="F55" s="23">
        <f>displayValue('Model_Pump Savings'!F55,"HEAD")</f>
        <v>30</v>
      </c>
      <c r="G55" s="58">
        <f>displayValue('Model_Pump Savings'!G55,"POWER")</f>
        <v>3.3549783549783552</v>
      </c>
      <c r="H55" s="104">
        <f>displayValue('Model_Pump Savings'!H55,"THERMAL")</f>
        <v>1860000</v>
      </c>
      <c r="I55" s="119">
        <f>(D55*'Model_Pump Savings'!G55)*0.746</f>
        <v>3439.2401797416219</v>
      </c>
      <c r="J55" s="104">
        <f>displayValue('Model_Pump Savings'!J55,"VOLUME")</f>
        <v>25559179.03014417</v>
      </c>
      <c r="K55" s="66"/>
      <c r="L55" s="120">
        <f>SUM(H55/$H$13)</f>
        <v>1</v>
      </c>
      <c r="M55" s="121">
        <f>displayValue('Model_Pump Savings'!M55,"FLOW")</f>
        <v>0</v>
      </c>
      <c r="N55" s="121">
        <f>displayValue('Model_Pump Savings'!N55,"VOLUME")</f>
        <v>0</v>
      </c>
      <c r="O55" s="122">
        <f>I55*Home!$F$10</f>
        <v>343.92401797416221</v>
      </c>
      <c r="P55" s="105"/>
      <c r="Q55" s="29" t="str">
        <f>Tr("PUMP_COSTS_LOWER","Pump costs")</f>
        <v>Pump costs</v>
      </c>
      <c r="R55" s="59">
        <f>R58*Home!$F$10</f>
        <v>677.10041038663189</v>
      </c>
      <c r="V55" s="66"/>
    </row>
    <row r="56" spans="2:22">
      <c r="B56" s="56">
        <v>75</v>
      </c>
      <c r="C56" s="57">
        <f>Home!$E$34*100</f>
        <v>50</v>
      </c>
      <c r="D56" s="23">
        <f>+Home!$F$37*C56*0.01</f>
        <v>2748.2988204456096</v>
      </c>
      <c r="E56" s="23">
        <f>displayValue('Model_Pump Savings'!E56,"FLOW")</f>
        <v>232.5</v>
      </c>
      <c r="F56" s="23">
        <f>displayValue('Model_Pump Savings'!F56,"HEAD")</f>
        <v>16.875</v>
      </c>
      <c r="G56" s="58">
        <f>displayValue('Model_Pump Savings'!G56,"POWER")</f>
        <v>1.4153814935064934</v>
      </c>
      <c r="H56" s="104">
        <f>displayValue('Model_Pump Savings'!H56,"THERMAL")</f>
        <v>1395000</v>
      </c>
      <c r="I56" s="119">
        <f>(D56*'Model_Pump Savings'!G56)*0.746</f>
        <v>2901.8589016569931</v>
      </c>
      <c r="J56" s="104">
        <f>displayValue('Model_Pump Savings'!J56,"VOLUME")</f>
        <v>38338768.545216255</v>
      </c>
      <c r="K56" s="66"/>
      <c r="L56" s="120">
        <f>SUM(H56/$H$14)</f>
        <v>1</v>
      </c>
      <c r="M56" s="121">
        <f>displayValue('Model_Pump Savings'!M56,"FLOW")</f>
        <v>0</v>
      </c>
      <c r="N56" s="121">
        <f>displayValue('Model_Pump Savings'!N56,"VOLUME")</f>
        <v>0</v>
      </c>
      <c r="O56" s="122">
        <f>I56*Home!$F$10</f>
        <v>290.18589016569933</v>
      </c>
      <c r="P56" s="105"/>
      <c r="Q56" s="60" t="str">
        <f>Tr("ANNUAL_GAL")&amp;" "&amp;UnitText("VOLUME")</f>
        <v>Annual gallons</v>
      </c>
      <c r="R56" s="104">
        <f>displayValue('Model_Pump Savings'!R56,"VOLUME")</f>
        <v>76677537.09043251</v>
      </c>
      <c r="V56" s="66"/>
    </row>
    <row r="57" spans="2:22">
      <c r="B57" s="56">
        <v>50</v>
      </c>
      <c r="C57" s="57">
        <f>Home!$E$35*100</f>
        <v>25</v>
      </c>
      <c r="D57" s="23">
        <f>+Home!$F$37*C57*0.01</f>
        <v>1374.1494102228048</v>
      </c>
      <c r="E57" s="23">
        <f>displayValue('Model_Pump Savings'!E57,"FLOW")</f>
        <v>155</v>
      </c>
      <c r="F57" s="23">
        <f>displayValue('Model_Pump Savings'!F57,"HEAD")</f>
        <v>7.5</v>
      </c>
      <c r="G57" s="58">
        <f>displayValue('Model_Pump Savings'!G57,"POWER")</f>
        <v>0.4193722943722944</v>
      </c>
      <c r="H57" s="104">
        <f>displayValue('Model_Pump Savings'!H57,"THERMAL")</f>
        <v>930000</v>
      </c>
      <c r="I57" s="119">
        <f>(D57*'Model_Pump Savings'!G57)*0.746</f>
        <v>429.90502246770274</v>
      </c>
      <c r="J57" s="104">
        <f>displayValue('Model_Pump Savings'!J57,"VOLUME")</f>
        <v>12779589.515072085</v>
      </c>
      <c r="K57" s="66"/>
      <c r="L57" s="120">
        <f>SUM(H57/$H$15)</f>
        <v>1</v>
      </c>
      <c r="M57" s="121">
        <f>displayValue('Model_Pump Savings'!M57,"FLOW")</f>
        <v>0</v>
      </c>
      <c r="N57" s="121">
        <f>displayValue('Model_Pump Savings'!N57,"VOLUME")</f>
        <v>0</v>
      </c>
      <c r="O57" s="122">
        <f>I57*Home!$F$10</f>
        <v>42.990502246770276</v>
      </c>
      <c r="P57" s="105"/>
      <c r="Q57" s="60" t="str">
        <f>Tr("AVG_GPM")&amp;" "&amp;UnitText("FLOW")</f>
        <v>Avg GPM</v>
      </c>
      <c r="R57" s="61">
        <f>displayValue('Model_Pump Savings'!R57,"FLOW")</f>
        <v>232.50000000000003</v>
      </c>
      <c r="V57" s="66"/>
    </row>
    <row r="58" spans="2:22">
      <c r="B58" s="56">
        <v>25</v>
      </c>
      <c r="C58" s="57">
        <f>Home!$E$36*100</f>
        <v>0</v>
      </c>
      <c r="D58" s="23">
        <f>+Home!$F$37*C58*0.01</f>
        <v>0</v>
      </c>
      <c r="E58" s="23">
        <f>displayValue('Model_Pump Savings'!E58,"FLOW")</f>
        <v>77.5</v>
      </c>
      <c r="F58" s="23">
        <f>displayValue('Model_Pump Savings'!F58,"HEAD")</f>
        <v>1.875</v>
      </c>
      <c r="G58" s="58">
        <f>displayValue('Model_Pump Savings'!G58,"POWER")</f>
        <v>5.24215367965368E-2</v>
      </c>
      <c r="H58" s="104">
        <f>displayValue('Model_Pump Savings'!H58,"THERMAL")</f>
        <v>465000</v>
      </c>
      <c r="I58" s="119">
        <f>(D58*'Model_Pump Savings'!G58)*0.746</f>
        <v>0</v>
      </c>
      <c r="J58" s="104">
        <f>displayValue('Model_Pump Savings'!J58,"VOLUME")</f>
        <v>0</v>
      </c>
      <c r="K58" s="66"/>
      <c r="L58" s="120">
        <f>SUM(H58/$H$16)</f>
        <v>1</v>
      </c>
      <c r="M58" s="121">
        <f>displayValue('Model_Pump Savings'!M58,"FLOW")</f>
        <v>0</v>
      </c>
      <c r="N58" s="121">
        <f>displayValue('Model_Pump Savings'!N58,"VOLUME")</f>
        <v>0</v>
      </c>
      <c r="O58" s="122">
        <f>I58*Home!$F$10</f>
        <v>0</v>
      </c>
      <c r="P58" s="105"/>
      <c r="Q58" s="29" t="str">
        <f>Tr("ENERGY_KWH_HDR","Energy [kWh]")</f>
        <v>Energy [kWh]</v>
      </c>
      <c r="R58" s="104">
        <f>SUMPRODUCT(D55:D58,'Model_Pump Savings'!G55:G58)*0.746</f>
        <v>6771.0041038663185</v>
      </c>
      <c r="U58"/>
    </row>
    <row r="59" spans="2:22">
      <c r="B59" s="69"/>
      <c r="C59" s="117"/>
      <c r="D59" s="105"/>
      <c r="E59" s="105"/>
      <c r="F59" s="105"/>
      <c r="G59" s="115"/>
      <c r="H59" s="112"/>
      <c r="I59" s="108">
        <f>SUM(I55:I58)</f>
        <v>6771.0041038663185</v>
      </c>
      <c r="J59" s="108">
        <f>SUM(J55:J58)</f>
        <v>76677537.09043251</v>
      </c>
      <c r="K59" s="112"/>
      <c r="L59" s="118"/>
      <c r="M59" s="116"/>
      <c r="N59" s="116"/>
      <c r="O59" s="108">
        <f>SUM(O55:O58)</f>
        <v>677.10041038663178</v>
      </c>
      <c r="P59" s="116"/>
      <c r="Q59" s="29"/>
      <c r="R59" s="112"/>
      <c r="U59" s="66"/>
    </row>
    <row r="60" spans="2:22">
      <c r="B60" s="69"/>
      <c r="C60" s="117"/>
      <c r="D60" s="105"/>
      <c r="E60" s="105"/>
      <c r="F60" s="105"/>
      <c r="G60" s="115"/>
      <c r="H60" s="112"/>
      <c r="I60" s="108"/>
      <c r="J60" s="108"/>
      <c r="K60" s="112"/>
      <c r="L60" s="118"/>
      <c r="M60" s="116"/>
      <c r="N60" s="116"/>
      <c r="O60" s="108"/>
      <c r="P60" s="116"/>
      <c r="Q60" s="29"/>
      <c r="R60" s="112"/>
      <c r="S60" s="33"/>
      <c r="V60" s="66"/>
    </row>
    <row r="61" spans="2:22" ht="13.8">
      <c r="B61" s="50" t="str">
        <f>Tr("CHILLED_WATER_COIL_FLOW_AT_DT")&amp;" ["&amp;UnitText("DELTA")&amp;"]:"</f>
        <v>Chilled Water Coil Flow at Delta T [°F]:</v>
      </c>
      <c r="C61" s="51"/>
      <c r="D61" s="51"/>
      <c r="E61" s="52"/>
      <c r="F61" s="349">
        <f>displayValue('Model_Pump Savings'!F61,"DELTA")</f>
        <v>14</v>
      </c>
      <c r="L61" s="29" t="str">
        <f>UnitText("THERMAL")</f>
        <v>BTU/h</v>
      </c>
      <c r="M61" s="29" t="str">
        <f>Tr("INCREASE_WORD","Increase")</f>
        <v>Increase</v>
      </c>
      <c r="N61" s="29" t="str">
        <f>Tr("ADDITIONAL_TRAIL","Additional ")</f>
        <v xml:space="preserve">Additional </v>
      </c>
      <c r="O61" s="29" t="str">
        <f>Tr("ADDITONAL_TYPO","Additional")</f>
        <v>Additional</v>
      </c>
      <c r="V61" s="66"/>
    </row>
    <row r="62" spans="2:22">
      <c r="B62" s="29" t="str">
        <f>Tr("LOAD_PCT_HDR","Load [%]")</f>
        <v>Load [%]</v>
      </c>
      <c r="C62" s="54" t="str">
        <f>Tr("TIME_PCT_HDR","Time [%]")</f>
        <v>Time [%]</v>
      </c>
      <c r="D62" s="29" t="str">
        <f>Tr("TIME_H_HDR","Time [h]")</f>
        <v>Time [h]</v>
      </c>
      <c r="E62" s="29" t="str">
        <f>Tr("FLOW_GPM_HDR")&amp;" ["&amp;UnitText("FLOW")&amp;"]"</f>
        <v>Flow [GPM]</v>
      </c>
      <c r="F62" s="29" t="str">
        <f>Tr("HEAD_FT_HDR")&amp;" ["&amp;UnitText("HEAD")&amp;"]"</f>
        <v>Head [ft.]</v>
      </c>
      <c r="G62" s="29" t="str">
        <f>Tr("POWER_HP_HDR")&amp;" ["&amp;UnitText("POWER")&amp;"]"</f>
        <v>Power [HP]</v>
      </c>
      <c r="H62" s="29" t="str">
        <f>UnitText("THERMAL")</f>
        <v>BTU/h</v>
      </c>
      <c r="I62" s="29" t="str">
        <f>Tr("ENERGY_KWH_HDR","Energy [kWh]")</f>
        <v>Energy [kWh]</v>
      </c>
      <c r="J62" s="29" t="str">
        <f>Tr("ANNUAL_GAL")&amp;" "&amp;UnitText("VOLUME")</f>
        <v>Annual gallons</v>
      </c>
      <c r="K62" s="29"/>
      <c r="L62" s="29" t="str">
        <f>Tr("AS_PCT_OF_DESIGN","As % of Design")</f>
        <v>As % of Design</v>
      </c>
      <c r="M62" s="29" t="str">
        <f>Tr("IN_GPM")&amp;" "&amp;UnitText("FLOW")</f>
        <v>In GPM</v>
      </c>
      <c r="N62" s="29" t="str">
        <f>Tr("GAL_PUMPED")&amp;" "&amp;UnitText("VOLUME")</f>
        <v>Pumped gallons</v>
      </c>
      <c r="O62" s="29" t="str">
        <f>Tr("PUMP_COSTS_TITLE","Pump Costs")</f>
        <v>Pump Costs</v>
      </c>
      <c r="P62" s="114"/>
      <c r="Q62" s="29"/>
      <c r="R62" s="29" t="str">
        <f>Tr("PUMP_COSTS_LOWER","Pump costs")</f>
        <v>Pump costs</v>
      </c>
      <c r="V62" s="66"/>
    </row>
    <row r="63" spans="2:22">
      <c r="B63" s="56">
        <v>100</v>
      </c>
      <c r="C63" s="57">
        <f>Home!$E$33*100</f>
        <v>25</v>
      </c>
      <c r="D63" s="23">
        <f>+Home!$F$37*C63*0.01</f>
        <v>1374.1494102228048</v>
      </c>
      <c r="E63" s="23">
        <f>displayValue('Model_Pump Savings'!E63,"FLOW")</f>
        <v>265.71428571428572</v>
      </c>
      <c r="F63" s="23">
        <f>displayValue('Model_Pump Savings'!F63,"HEAD")</f>
        <v>22.040816326530617</v>
      </c>
      <c r="G63" s="58">
        <f>displayValue('Model_Pump Savings'!G63,"POWER")</f>
        <v>2.1127560486161072</v>
      </c>
      <c r="H63" s="104">
        <f>displayValue('Model_Pump Savings'!H63,"THERMAL")</f>
        <v>1860000</v>
      </c>
      <c r="I63" s="119">
        <f>(D63*'Model_Pump Savings'!G63)*0.746</f>
        <v>2165.8188887002634</v>
      </c>
      <c r="J63" s="104">
        <f>displayValue('Model_Pump Savings'!J63,"VOLUME")</f>
        <v>21907867.740123574</v>
      </c>
      <c r="K63" s="66"/>
      <c r="L63" s="120">
        <f>SUM(H63/$H$13)</f>
        <v>1</v>
      </c>
      <c r="M63" s="121">
        <f>displayValue('Model_Pump Savings'!M63,"FLOW")</f>
        <v>-44.285714285714278</v>
      </c>
      <c r="N63" s="121">
        <f>displayValue('Model_Pump Savings'!N63,"VOLUME")</f>
        <v>-3651311.2900205962</v>
      </c>
      <c r="O63" s="122">
        <f>I63*Home!$F$10</f>
        <v>216.58188887002635</v>
      </c>
      <c r="P63" s="105"/>
      <c r="Q63" s="29" t="str">
        <f>Tr("PUMP_COSTS_LOWER","Pump costs")</f>
        <v>Pump costs</v>
      </c>
      <c r="R63" s="59">
        <f>R66*Home!$F$10</f>
        <v>426.39559371286435</v>
      </c>
      <c r="V63" s="66"/>
    </row>
    <row r="64" spans="2:22">
      <c r="B64" s="56">
        <v>75</v>
      </c>
      <c r="C64" s="57">
        <f>Home!$E$34*100</f>
        <v>50</v>
      </c>
      <c r="D64" s="23">
        <f>+Home!$F$37*C64*0.01</f>
        <v>2748.2988204456096</v>
      </c>
      <c r="E64" s="23">
        <f>displayValue('Model_Pump Savings'!E64,"FLOW")</f>
        <v>199.28571428571428</v>
      </c>
      <c r="F64" s="23">
        <f>displayValue('Model_Pump Savings'!F64,"HEAD")</f>
        <v>12.397959183673466</v>
      </c>
      <c r="G64" s="58">
        <f>displayValue('Model_Pump Savings'!G64,"POWER")</f>
        <v>0.89131895800991978</v>
      </c>
      <c r="H64" s="104">
        <f>displayValue('Model_Pump Savings'!H64,"THERMAL")</f>
        <v>1395000</v>
      </c>
      <c r="I64" s="119">
        <f>(D64*'Model_Pump Savings'!G64)*0.746</f>
        <v>1827.4096873408464</v>
      </c>
      <c r="J64" s="104">
        <f>displayValue('Model_Pump Savings'!J64,"VOLUME")</f>
        <v>32861801.610185362</v>
      </c>
      <c r="K64" s="66"/>
      <c r="L64" s="120">
        <f>SUM(H64/$H$14)</f>
        <v>1</v>
      </c>
      <c r="M64" s="121">
        <f>displayValue('Model_Pump Savings'!M64,"FLOW")</f>
        <v>-33.214285714285722</v>
      </c>
      <c r="N64" s="121">
        <f>displayValue('Model_Pump Savings'!N64,"VOLUME")</f>
        <v>-5476966.9350308925</v>
      </c>
      <c r="O64" s="122">
        <f>I64*Home!$F$10</f>
        <v>182.74096873408465</v>
      </c>
      <c r="P64" s="105"/>
      <c r="Q64" s="60" t="str">
        <f>Tr("ANNUAL_GAL")&amp;" "&amp;UnitText("VOLUME")</f>
        <v>Annual gallons</v>
      </c>
      <c r="R64" s="104">
        <f>displayValue('Model_Pump Savings'!R64,"VOLUME")</f>
        <v>65723603.220370725</v>
      </c>
      <c r="V64" s="66"/>
    </row>
    <row r="65" spans="2:21">
      <c r="B65" s="56">
        <v>50</v>
      </c>
      <c r="C65" s="57">
        <f>Home!$E$35*100</f>
        <v>25</v>
      </c>
      <c r="D65" s="23">
        <f>+Home!$F$37*C65*0.01</f>
        <v>1374.1494102228048</v>
      </c>
      <c r="E65" s="23">
        <f>displayValue('Model_Pump Savings'!E65,"FLOW")</f>
        <v>132.85714285714286</v>
      </c>
      <c r="F65" s="23">
        <f>displayValue('Model_Pump Savings'!F65,"HEAD")</f>
        <v>5.5102040816326543</v>
      </c>
      <c r="G65" s="58">
        <f>displayValue('Model_Pump Savings'!G65,"POWER")</f>
        <v>0.2640945060770134</v>
      </c>
      <c r="H65" s="104">
        <f>displayValue('Model_Pump Savings'!H65,"THERMAL")</f>
        <v>930000</v>
      </c>
      <c r="I65" s="119">
        <f>(D65*'Model_Pump Savings'!G65)*0.746</f>
        <v>270.72736108753293</v>
      </c>
      <c r="J65" s="104">
        <f>displayValue('Model_Pump Savings'!J65,"VOLUME")</f>
        <v>10953933.870061787</v>
      </c>
      <c r="K65" s="66"/>
      <c r="L65" s="120">
        <f>SUM(H65/$H$15)</f>
        <v>1</v>
      </c>
      <c r="M65" s="121">
        <f>displayValue('Model_Pump Savings'!M65,"FLOW")</f>
        <v>-22.142857142857139</v>
      </c>
      <c r="N65" s="121">
        <f>displayValue('Model_Pump Savings'!N65,"VOLUME")</f>
        <v>-1825655.6450102981</v>
      </c>
      <c r="O65" s="122">
        <f>I65*Home!$F$10</f>
        <v>27.072736108753293</v>
      </c>
      <c r="P65" s="105"/>
      <c r="Q65" s="60" t="str">
        <f>Tr("AVG_GPM")&amp;" "&amp;UnitText("FLOW")</f>
        <v>Avg GPM</v>
      </c>
      <c r="R65" s="61">
        <f>displayValue('Model_Pump Savings'!R65,"FLOW")</f>
        <v>199.28571428571431</v>
      </c>
      <c r="U65" s="66"/>
    </row>
    <row r="66" spans="2:21">
      <c r="B66" s="56">
        <v>25</v>
      </c>
      <c r="C66" s="57">
        <f>Home!$E$36*100</f>
        <v>0</v>
      </c>
      <c r="D66" s="23">
        <f>+Home!$F$37*C66*0.01</f>
        <v>0</v>
      </c>
      <c r="E66" s="23">
        <f>displayValue('Model_Pump Savings'!E66,"FLOW")</f>
        <v>66.428571428571431</v>
      </c>
      <c r="F66" s="23">
        <f>displayValue('Model_Pump Savings'!F66,"HEAD")</f>
        <v>1.3775510204081636</v>
      </c>
      <c r="G66" s="58">
        <f>displayValue('Model_Pump Savings'!G66,"POWER")</f>
        <v>3.3011813259626675E-2</v>
      </c>
      <c r="H66" s="104">
        <f>displayValue('Model_Pump Savings'!H66,"THERMAL")</f>
        <v>465000</v>
      </c>
      <c r="I66" s="119">
        <f>(D66*'Model_Pump Savings'!G66)*0.746</f>
        <v>0</v>
      </c>
      <c r="J66" s="104">
        <f>displayValue('Model_Pump Savings'!J66,"VOLUME")</f>
        <v>0</v>
      </c>
      <c r="K66" s="66"/>
      <c r="L66" s="120">
        <f>SUM(H66/$H$16)</f>
        <v>1</v>
      </c>
      <c r="M66" s="121">
        <f>displayValue('Model_Pump Savings'!M66,"FLOW")</f>
        <v>-11.071428571428569</v>
      </c>
      <c r="N66" s="121">
        <f>displayValue('Model_Pump Savings'!N66,"VOLUME")</f>
        <v>0</v>
      </c>
      <c r="O66" s="122">
        <f>I66*Home!$F$10</f>
        <v>0</v>
      </c>
      <c r="P66" s="105"/>
      <c r="Q66" s="29" t="str">
        <f>Tr("ENERGY_KWH_HDR","Energy [kWh]")</f>
        <v>Energy [kWh]</v>
      </c>
      <c r="R66" s="104">
        <f>SUMPRODUCT(D63:D66,'Model_Pump Savings'!G63:G66)*0.746</f>
        <v>4263.9559371286432</v>
      </c>
      <c r="U66" s="66"/>
    </row>
    <row r="67" spans="2:21">
      <c r="B67" s="69"/>
      <c r="C67" s="117"/>
      <c r="D67" s="105"/>
      <c r="E67" s="105"/>
      <c r="F67" s="105"/>
      <c r="G67" s="115"/>
      <c r="H67" s="112"/>
      <c r="I67" s="108">
        <f>SUM(I63:I66)</f>
        <v>4263.9559371286423</v>
      </c>
      <c r="J67" s="108">
        <f>SUM(J63:J66)</f>
        <v>65723603.220370725</v>
      </c>
      <c r="K67" s="112"/>
      <c r="L67" s="118"/>
      <c r="M67" s="116"/>
      <c r="N67" s="116"/>
      <c r="O67" s="108">
        <f>SUM(O63:O66)</f>
        <v>426.3955937128643</v>
      </c>
      <c r="P67" s="116"/>
      <c r="Q67" s="29"/>
      <c r="R67" s="112"/>
      <c r="U67" s="66"/>
    </row>
    <row r="68" spans="2:21">
      <c r="B68" s="69"/>
      <c r="C68" s="117"/>
      <c r="D68" s="105"/>
      <c r="E68" s="105"/>
      <c r="F68" s="105"/>
      <c r="G68" s="115"/>
      <c r="H68" s="112"/>
      <c r="I68" s="108"/>
      <c r="J68" s="108"/>
      <c r="K68" s="112"/>
      <c r="L68" s="118"/>
      <c r="M68" s="116"/>
      <c r="N68" s="116"/>
      <c r="O68" s="108"/>
      <c r="P68" s="116"/>
      <c r="Q68" s="29"/>
      <c r="R68" s="112"/>
      <c r="U68" s="66"/>
    </row>
    <row r="69" spans="2:21">
      <c r="B69" s="69"/>
      <c r="C69" s="117"/>
      <c r="D69" s="105"/>
      <c r="E69" s="105"/>
      <c r="F69" s="105"/>
      <c r="G69" s="115"/>
      <c r="H69" s="112"/>
      <c r="I69" s="108"/>
      <c r="J69" s="108"/>
      <c r="K69" s="112"/>
      <c r="L69" s="118"/>
      <c r="M69" s="116"/>
      <c r="N69" s="116"/>
      <c r="O69" s="108"/>
      <c r="P69" s="116"/>
      <c r="Q69" s="29"/>
      <c r="R69" s="112"/>
    </row>
    <row r="70" spans="2:21" ht="19.5" customHeight="1"/>
    <row r="71" spans="2:21" ht="26.25" customHeight="1">
      <c r="B71" s="269"/>
      <c r="C71" s="269"/>
      <c r="D71" s="269"/>
      <c r="E71" s="269"/>
      <c r="F71" s="270"/>
      <c r="G71" s="270"/>
    </row>
    <row r="72" spans="2:21" ht="18.75" customHeight="1">
      <c r="B72" s="271"/>
      <c r="C72" s="272"/>
      <c r="D72" s="271"/>
      <c r="E72" s="273"/>
      <c r="F72" s="272"/>
      <c r="G72" s="272"/>
    </row>
    <row r="73" spans="2:21" ht="18.75" customHeight="1">
      <c r="B73" s="271"/>
      <c r="C73" s="272"/>
      <c r="D73" s="271"/>
      <c r="E73" s="273"/>
      <c r="F73" s="272"/>
      <c r="G73" s="272"/>
      <c r="L73" s="324"/>
      <c r="M73" s="324"/>
      <c r="N73" s="324"/>
    </row>
    <row r="74" spans="2:21" ht="18.75" customHeight="1">
      <c r="B74" s="274"/>
      <c r="C74" s="272"/>
      <c r="D74" s="271"/>
      <c r="E74" s="273"/>
      <c r="F74" s="272"/>
      <c r="G74" s="272"/>
      <c r="L74" s="275"/>
      <c r="M74" s="275"/>
      <c r="N74" s="275"/>
    </row>
    <row r="75" spans="2:21" ht="18.75" customHeight="1">
      <c r="B75" s="271"/>
      <c r="C75" s="272"/>
      <c r="D75" s="271"/>
      <c r="E75" s="273"/>
      <c r="F75" s="272"/>
      <c r="G75" s="272"/>
      <c r="L75" s="113"/>
      <c r="M75" s="113"/>
      <c r="N75" s="113"/>
    </row>
    <row r="76" spans="2:21" ht="18.75" customHeight="1">
      <c r="B76" s="271"/>
      <c r="C76" s="272"/>
      <c r="D76" s="271"/>
      <c r="E76" s="273"/>
      <c r="F76" s="272"/>
      <c r="G76" s="272"/>
    </row>
    <row r="77" spans="2:21" ht="17.25" customHeight="1">
      <c r="B77" s="271"/>
      <c r="C77" s="272"/>
      <c r="D77" s="271"/>
      <c r="E77" s="273"/>
      <c r="F77" s="272"/>
      <c r="G77" s="272"/>
    </row>
    <row r="78" spans="2:21" ht="12.75" customHeight="1">
      <c r="B78" s="276"/>
      <c r="C78" s="276"/>
      <c r="D78" s="276"/>
      <c r="E78" s="276"/>
      <c r="F78" s="276"/>
      <c r="G78" s="276"/>
    </row>
    <row r="79" spans="2:21">
      <c r="B79" s="321"/>
      <c r="C79" s="321"/>
      <c r="D79" s="321"/>
      <c r="E79" s="276"/>
      <c r="F79" s="276"/>
      <c r="G79" s="276"/>
    </row>
    <row r="80" spans="2:21" ht="13.8">
      <c r="B80" s="321"/>
      <c r="C80" s="321"/>
      <c r="D80" s="321"/>
      <c r="E80" s="277"/>
      <c r="F80" s="272"/>
      <c r="G80" s="278"/>
    </row>
    <row r="81" spans="2:13">
      <c r="B81" s="276"/>
      <c r="C81" s="276"/>
      <c r="D81" s="276"/>
      <c r="E81" s="276"/>
      <c r="F81" s="276"/>
      <c r="G81" s="276"/>
    </row>
    <row r="82" spans="2:13" ht="19.5" customHeight="1">
      <c r="B82" s="316"/>
      <c r="C82" s="317"/>
      <c r="D82" s="317"/>
      <c r="E82" s="317"/>
      <c r="F82" s="317"/>
      <c r="G82" s="317"/>
    </row>
    <row r="83" spans="2:13" ht="18.75" customHeight="1">
      <c r="B83" s="279"/>
      <c r="C83" s="279"/>
      <c r="D83" s="276"/>
      <c r="E83" s="276"/>
      <c r="F83" s="276"/>
      <c r="G83" s="276"/>
    </row>
    <row r="84" spans="2:13" ht="13.8">
      <c r="B84" s="280"/>
      <c r="C84" s="280"/>
      <c r="D84" s="276"/>
      <c r="E84" s="277"/>
      <c r="F84" s="272"/>
      <c r="G84" s="278"/>
    </row>
    <row r="85" spans="2:13">
      <c r="E85" s="281"/>
      <c r="F85" s="281"/>
      <c r="G85" s="281"/>
    </row>
    <row r="86" spans="2:13" ht="19.5" customHeight="1">
      <c r="E86" s="281"/>
      <c r="F86" s="281"/>
      <c r="G86" s="281"/>
    </row>
    <row r="93" spans="2:13">
      <c r="B93" s="282"/>
      <c r="C93" s="283"/>
      <c r="D93" s="283"/>
      <c r="E93" s="283"/>
      <c r="F93" s="283"/>
      <c r="G93" s="284"/>
      <c r="H93" s="285"/>
      <c r="I93" s="286"/>
      <c r="J93" s="286"/>
      <c r="K93" s="287"/>
      <c r="M93" s="288"/>
    </row>
    <row r="94" spans="2:13">
      <c r="B94" s="282"/>
      <c r="C94" s="283"/>
      <c r="D94" s="283"/>
      <c r="E94" s="283"/>
      <c r="F94" s="283"/>
      <c r="G94" s="289"/>
      <c r="H94" s="285"/>
      <c r="I94" s="286"/>
      <c r="J94" s="286"/>
      <c r="K94" s="287"/>
      <c r="M94" s="290"/>
    </row>
    <row r="95" spans="2:13">
      <c r="B95" s="282"/>
      <c r="C95" s="283"/>
      <c r="D95" s="283"/>
      <c r="E95" s="283"/>
      <c r="F95" s="283"/>
      <c r="G95" s="289"/>
      <c r="H95" s="285"/>
      <c r="I95" s="286"/>
      <c r="J95" s="286"/>
      <c r="K95" s="287"/>
      <c r="M95" s="290"/>
    </row>
  </sheetData>
  <sheetProtection algorithmName="SHA-512" hashValue="RzEpWOHz4dUbHrZ1JdgLqA+r342cf8FqV3Go31s+W9BeJ7np2CCjZSkoNWCJEy2hQ2QEgqP2PSsdMkMUKhQLqA==" saltValue="AVqvNms0SuCkRFUFn00gQA==" spinCount="100000" sheet="1" objects="1" scenarios="1"/>
  <mergeCells count="9">
    <mergeCell ref="B82:G82"/>
    <mergeCell ref="B19:J19"/>
    <mergeCell ref="I7:Q7"/>
    <mergeCell ref="B79:D80"/>
    <mergeCell ref="L19:R19"/>
    <mergeCell ref="L73:N73"/>
    <mergeCell ref="G10:H10"/>
    <mergeCell ref="J10:K10"/>
    <mergeCell ref="L10:M10"/>
  </mergeCells>
  <dataValidations count="1">
    <dataValidation type="decimal" allowBlank="1" showInputMessage="1" showErrorMessage="1" errorTitle="Entry Error" error="Values must be between 100% and 800%." promptTitle="Pump Design Flow " sqref="F5" xr:uid="{E3AEA360-F39F-4BDC-B408-F9D527CD2BCD}">
      <formula1>1</formula1>
      <formula2>8</formula2>
    </dataValidation>
  </dataValidations>
  <printOptions horizontalCentered="1"/>
  <pageMargins left="0.4" right="0.4" top="0.5" bottom="0.5" header="0.3" footer="0.3"/>
  <pageSetup scale="55" orientation="landscape" r:id="rId1"/>
  <rowBreaks count="1" manualBreakCount="1">
    <brk id="43" max="17"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4AF23-893B-41AE-ACEA-FCA3EB2BF56E}">
  <sheetPr codeName="Sheet6">
    <tabColor rgb="FFFF6600"/>
  </sheetPr>
  <dimension ref="E5:R66"/>
  <sheetViews>
    <sheetView workbookViewId="0"/>
  </sheetViews>
  <sheetFormatPr defaultRowHeight="13.2"/>
  <sheetData>
    <row r="5" spans="5:16">
      <c r="N5">
        <f>SQRT(O5/$F$13)*$E$13</f>
        <v>0</v>
      </c>
      <c r="O5">
        <f>+F6</f>
        <v>0</v>
      </c>
      <c r="P5">
        <f>(N5*O5)/(3960*Model_Home!$F$16/100)</f>
        <v>0</v>
      </c>
    </row>
    <row r="7" spans="5:16">
      <c r="F7">
        <f>Model_Home!F11</f>
        <v>310</v>
      </c>
    </row>
    <row r="8" spans="5:16">
      <c r="F8">
        <f>Model_Home!F18</f>
        <v>12</v>
      </c>
    </row>
    <row r="9" spans="5:16">
      <c r="F9">
        <f>SUM($F$7/(24/$F$8))</f>
        <v>155</v>
      </c>
    </row>
    <row r="10" spans="5:16">
      <c r="F10">
        <f>(F7*F8)*500</f>
        <v>1860000</v>
      </c>
    </row>
    <row r="13" spans="5:16">
      <c r="E13">
        <f>$F$7</f>
        <v>310</v>
      </c>
      <c r="F13">
        <f>Model_Home!$F$16</f>
        <v>30</v>
      </c>
      <c r="G13">
        <f>(E13*F13)/(3960*Home!$F$17/100)</f>
        <v>3.3549783549783552</v>
      </c>
      <c r="H13">
        <f>SUM(E13*$F$8)*500</f>
        <v>1860000</v>
      </c>
      <c r="J13">
        <f>('Pump Savings'!D13*E13)*60</f>
        <v>25559179.03014417</v>
      </c>
    </row>
    <row r="14" spans="5:16">
      <c r="E14">
        <f>+IF(($E$13*'Pump Savings'!B14/100)&lt;$N$5,$N$5,($E$13*'Pump Savings'!B14/100))</f>
        <v>232.5</v>
      </c>
      <c r="F14">
        <f>IF(($F$13*(E14/$E$13)^2)&lt;$F$6,$F$6,($F$13*(E14/$E$13)^2))</f>
        <v>16.875</v>
      </c>
      <c r="G14">
        <f>(E14*F14)/(3960*Home!$F$17/100)</f>
        <v>1.4153814935064934</v>
      </c>
      <c r="H14">
        <f>SUM(E14*$F$8)*500</f>
        <v>1395000</v>
      </c>
      <c r="J14">
        <f>('Pump Savings'!D14*E14)*60</f>
        <v>38338768.545216255</v>
      </c>
      <c r="N14">
        <f>SUMPRODUCT(E13:E16,'Pump Savings'!D13:'Pump Savings'!D16)*60</f>
        <v>76677537.09043251</v>
      </c>
    </row>
    <row r="15" spans="5:16">
      <c r="E15">
        <f>+IF(($E$13*'Pump Savings'!B15/100)&lt;$N$5,$N$5,($E$13*'Pump Savings'!B15/100))</f>
        <v>155</v>
      </c>
      <c r="F15">
        <f>IF(($F$13*(E15/$E$13)^2)&lt;$F$6,$F$6,($F$13*(E15/$E$13)^2))</f>
        <v>7.5</v>
      </c>
      <c r="G15">
        <f>(E15*F15)/(3960*Home!$F$17/100)</f>
        <v>0.4193722943722944</v>
      </c>
      <c r="H15">
        <f>SUM(E15*$F$8)*500</f>
        <v>930000</v>
      </c>
      <c r="J15">
        <f>('Pump Savings'!D15*E15)*60</f>
        <v>12779589.515072085</v>
      </c>
      <c r="N15">
        <f>+N14/(60*Home!$F$37)</f>
        <v>232.50000000000003</v>
      </c>
    </row>
    <row r="16" spans="5:16">
      <c r="E16">
        <f>+IF(($E$13*'Pump Savings'!B16/100)&lt;$N$5,$N$5,($E$13*'Pump Savings'!B16/100))</f>
        <v>77.5</v>
      </c>
      <c r="F16">
        <f>IF(($F$13*(E16/$E$13)^2)&lt;$F$6,$F$6,($F$13*(E16/$E$13)^2))</f>
        <v>1.875</v>
      </c>
      <c r="G16">
        <f>(E16*F16)/(3960*Home!$F$17/100)</f>
        <v>5.24215367965368E-2</v>
      </c>
      <c r="H16">
        <f>SUM(E16*$F$8)*500</f>
        <v>465000</v>
      </c>
      <c r="J16">
        <f>('Pump Savings'!D16*E16)*60</f>
        <v>0</v>
      </c>
    </row>
    <row r="21" spans="5:18">
      <c r="F21">
        <v>4</v>
      </c>
    </row>
    <row r="23" spans="5:18">
      <c r="E23">
        <f>IF($F$9*'Pump Savings'!B23*0.01*24/F21&gt;$E$13*'Pump Savings'!$F$5,$E$13*'Pump Savings'!$F$5,$F$9*'Pump Savings'!B23*0.01*24/F21)</f>
        <v>387.5</v>
      </c>
      <c r="F23">
        <f>IF(($F$13*(E23/$E$13)^2)&lt;$F$6,$F$6,($F$13*(E23/$E$13)^2))</f>
        <v>46.875</v>
      </c>
      <c r="G23">
        <f>(E23*F23)/(3960*Home!$F$17/100)</f>
        <v>6.5526920995670999</v>
      </c>
      <c r="H23">
        <f>SUM(E23*$F$21)*500</f>
        <v>775000</v>
      </c>
      <c r="J23">
        <f>('Pump Savings'!D23*E23)*60</f>
        <v>31948973.787680212</v>
      </c>
      <c r="M23">
        <f>SUM(E23-$E$13)</f>
        <v>77.5</v>
      </c>
      <c r="N23">
        <f>SUM(J23-$J$13)</f>
        <v>6389794.7575360425</v>
      </c>
    </row>
    <row r="24" spans="5:18">
      <c r="E24">
        <f>IF(IF($F$9*12000*'Pump Savings'!B24/(100*500*$F$21)&gt;$E$13*'Pump Savings'!$F$5,$E$13*'Pump Savings'!$F$5,$F$9*12000*'Pump Savings'!B24/(100*500*$F$21))&lt;$N$5,$N$5,IF($F$9*12000*'Pump Savings'!B24/(100*500*$F$21)&gt;$E$13*'Pump Savings'!$F$5,$E$13*'Pump Savings'!$F$5,$F$9*12000*'Pump Savings'!B24/(100*500*$F$21)))</f>
        <v>387.5</v>
      </c>
      <c r="F24">
        <f>IF(($F$13*(E24/$E$13)^2)&lt;$F$6,$F$6,($F$13*(E24/$E$13)^2))</f>
        <v>46.875</v>
      </c>
      <c r="G24">
        <f>(E24*F24)/(3960*Home!$F$17/100)</f>
        <v>6.5526920995670999</v>
      </c>
      <c r="H24">
        <f>SUM(E24*$F$21)*500</f>
        <v>775000</v>
      </c>
      <c r="J24">
        <f>('Pump Savings'!D24*E24)*60</f>
        <v>63897947.575360425</v>
      </c>
      <c r="M24">
        <f>SUM(E24-$E$14)</f>
        <v>155</v>
      </c>
      <c r="N24">
        <f>SUM(J24-$J$14)</f>
        <v>25559179.03014417</v>
      </c>
      <c r="R24">
        <f>SUMPRODUCT(E23:E26,'Pump Savings'!D23:'Pump Savings'!D26)*60</f>
        <v>127795895.15072085</v>
      </c>
    </row>
    <row r="25" spans="5:18">
      <c r="E25">
        <f>IF(IF($F$9*12000*'Pump Savings'!B25/(100*500*$F$21)&gt;$E$13*'Pump Savings'!$F$5,$E$13*'Pump Savings'!$F$5,$F$9*12000*'Pump Savings'!B25/(100*500*$F$21))&lt;$N$5,$N$5,IF($F$9*12000*'Pump Savings'!B25/(100*500*$F$21)&gt;$E$13*'Pump Savings'!$F$5,$E$13*'Pump Savings'!$F$5,$F$9*12000*'Pump Savings'!B25/(100*500*$F$21)))</f>
        <v>387.5</v>
      </c>
      <c r="F25">
        <f>IF(($F$13*(E25/$E$13)^2)&lt;$F$6,$F$6,($F$13*(E25/$E$13)^2))</f>
        <v>46.875</v>
      </c>
      <c r="G25">
        <f>(E25*F25)/(3960*Home!$F$17/100)</f>
        <v>6.5526920995670999</v>
      </c>
      <c r="H25">
        <f>SUM(E25*$F$21)*500</f>
        <v>775000</v>
      </c>
      <c r="J25">
        <f>('Pump Savings'!D25*E25)*60</f>
        <v>31948973.787680212</v>
      </c>
      <c r="M25">
        <f>SUM(E25-$E$15)</f>
        <v>232.5</v>
      </c>
      <c r="N25">
        <f>SUM(J25-$J$15)</f>
        <v>19169384.272608127</v>
      </c>
      <c r="R25">
        <f>+R24/(60*Home!$F$37)</f>
        <v>387.50000000000006</v>
      </c>
    </row>
    <row r="26" spans="5:18">
      <c r="E26">
        <f>IF(IF($F$9*12000*'Pump Savings'!B26/(100*500*$F$21)&gt;$E$13*'Pump Savings'!$F$5,$E$13*'Pump Savings'!$F$5,$F$9*12000*'Pump Savings'!B26/(100*500*$F$21))&lt;$N$5,$N$5,IF($F$9*12000*'Pump Savings'!B26/(100*500*$F$21)&gt;$E$13*'Pump Savings'!$F$5,$E$13*'Pump Savings'!$F$5,$F$9*12000*'Pump Savings'!B26/(100*500*$F$21)))</f>
        <v>232.5</v>
      </c>
      <c r="F26">
        <f>IF(($F$13*(E26/$E$13)^2)&lt;$F$6,$F$6,($F$13*(E26/$E$13)^2))</f>
        <v>16.875</v>
      </c>
      <c r="G26">
        <f>(E26*F26)/(3960*Home!$F$17/100)</f>
        <v>1.4153814935064934</v>
      </c>
      <c r="H26">
        <f>SUM(E26*$F$21)*500</f>
        <v>465000</v>
      </c>
      <c r="J26">
        <f>('Pump Savings'!D26*E26)*60</f>
        <v>0</v>
      </c>
      <c r="M26">
        <f>SUM(E26-$E$16)</f>
        <v>155</v>
      </c>
      <c r="N26">
        <f>SUM(J26-$J$16)</f>
        <v>0</v>
      </c>
    </row>
    <row r="29" spans="5:18">
      <c r="F29">
        <v>6</v>
      </c>
    </row>
    <row r="31" spans="5:18">
      <c r="E31">
        <f>IF($F$9*'Pump Savings'!B31*0.01*24/(F29)&gt;$E$13*'Pump Savings'!$F$5,$E$13*'Pump Savings'!$F$5,$F$9*'Pump Savings'!B31*0.01*24/(F29))</f>
        <v>387.5</v>
      </c>
      <c r="F31">
        <f>IF(($F$13*(E31/$E$13)^2)&lt;$F$6,$F$6,($F$13*(E31/$E$13)^2))</f>
        <v>46.875</v>
      </c>
      <c r="G31">
        <f>(E31*F31)/(3960*Home!$F$17/100)</f>
        <v>6.5526920995670999</v>
      </c>
      <c r="H31">
        <f>SUM(E31*$F$29)*500</f>
        <v>1162500</v>
      </c>
      <c r="J31">
        <f>('Pump Savings'!D31*E31)*60</f>
        <v>31948973.787680212</v>
      </c>
      <c r="M31">
        <f>SUM(E31-$E$13)</f>
        <v>77.5</v>
      </c>
      <c r="N31">
        <f>SUM(J31-$J$13)</f>
        <v>6389794.7575360425</v>
      </c>
    </row>
    <row r="32" spans="5:18">
      <c r="E32">
        <f>IF(IF($F$9*12000*'Pump Savings'!B32/(100*500*$F$29)&gt;$E$13*'Pump Savings'!$F$5,$E$13*'Pump Savings'!$F$5,$F$9*12000*'Pump Savings'!B32/(100*500*$F$29))&lt;$N$5,$N$5,IF($F$9*12000*'Pump Savings'!B32/(100*500*$F$29)&gt;$E$13*'Pump Savings'!$F$5,$E$13*'Pump Savings'!$F$5,$F$9*12000*'Pump Savings'!B32/(100*500*$F$29)))</f>
        <v>387.5</v>
      </c>
      <c r="F32">
        <f>IF(($F$13*(E32/$E$13)^2)&lt;$F$6,$F$6,($F$13*(E32/$E$13)^2))</f>
        <v>46.875</v>
      </c>
      <c r="G32">
        <f>(E32*F32)/(3960*Home!$F$17/100)</f>
        <v>6.5526920995670999</v>
      </c>
      <c r="H32">
        <f>SUM(E32*$F$29)*500</f>
        <v>1162500</v>
      </c>
      <c r="J32">
        <f>('Pump Savings'!D32*E32)*60</f>
        <v>63897947.575360425</v>
      </c>
      <c r="M32">
        <f>SUM(E32-$E$14)</f>
        <v>155</v>
      </c>
      <c r="N32">
        <f>SUM(J32-$J$14)</f>
        <v>25559179.03014417</v>
      </c>
      <c r="R32">
        <f>SUMPRODUCT(E31:E34,'Pump Savings'!D31:'Pump Savings'!D34)*60</f>
        <v>121406100.39318481</v>
      </c>
    </row>
    <row r="33" spans="5:18">
      <c r="E33">
        <f>IF(IF($F$9*12000*'Pump Savings'!B33/(100*500*$F$29)&gt;$E$13*'Pump Savings'!$F$5,$E$13*'Pump Savings'!$F$5,$F$9*12000*'Pump Savings'!B33/(100*500*$F$29))&lt;$N$5,$N$5,IF($F$9*12000*'Pump Savings'!B33/(100*500*$F$29)&gt;$E$13*'Pump Savings'!$F$5,$E$13*'Pump Savings'!$F$5,$F$9*12000*'Pump Savings'!B33/(100*500*$F$29)))</f>
        <v>310</v>
      </c>
      <c r="F33">
        <f>IF(($F$13*(E33/$E$13)^2)&lt;$F$6,$F$6,($F$13*(E33/$E$13)^2))</f>
        <v>30</v>
      </c>
      <c r="G33">
        <f>(E33*F33)/(3960*Home!$F$17/100)</f>
        <v>3.3549783549783552</v>
      </c>
      <c r="H33">
        <f>SUM(E33*$F$29)*500</f>
        <v>930000</v>
      </c>
      <c r="J33">
        <f>('Pump Savings'!D33*E33)*60</f>
        <v>25559179.03014417</v>
      </c>
      <c r="M33">
        <f>SUM(E33-$E$15)</f>
        <v>155</v>
      </c>
      <c r="N33">
        <f>SUM(J33-$J$15)</f>
        <v>12779589.515072085</v>
      </c>
      <c r="R33">
        <f>+R32/(60*Home!$F$37)</f>
        <v>368.12500000000006</v>
      </c>
    </row>
    <row r="34" spans="5:18">
      <c r="E34">
        <f>IF(IF($F$9*12000*'Pump Savings'!B34/(100*500*$F$29)&gt;$E$13*'Pump Savings'!$F$5,$E$13*'Pump Savings'!$F$5,$F$9*12000*'Pump Savings'!B34/(100*500*$F$29))&lt;$N$5,$N$5,IF($F$9*12000*'Pump Savings'!B34/(100*500*$F$29)&gt;$E$13*'Pump Savings'!$F$5,$E$13*'Pump Savings'!$F$5,$F$9*12000*'Pump Savings'!B34/(100*500*$F$29)))</f>
        <v>155</v>
      </c>
      <c r="F34">
        <f>IF(($F$13*(E34/$E$13)^2)&lt;$F$6,$F$6,($F$13*(E34/$E$13)^2))</f>
        <v>7.5</v>
      </c>
      <c r="G34">
        <f>(E34*F34)/(3960*Home!$F$17/100)</f>
        <v>0.4193722943722944</v>
      </c>
      <c r="H34">
        <f>SUM(E34*$F$29)*500</f>
        <v>465000</v>
      </c>
      <c r="J34">
        <f>('Pump Savings'!D34*E34)*60</f>
        <v>0</v>
      </c>
      <c r="M34">
        <f>SUM(E34-$E$16)</f>
        <v>77.5</v>
      </c>
      <c r="N34">
        <f>SUM(J34-$J$16)</f>
        <v>0</v>
      </c>
    </row>
    <row r="37" spans="5:18">
      <c r="F37">
        <v>8</v>
      </c>
    </row>
    <row r="39" spans="5:18">
      <c r="E39">
        <f>IF($F$9*'Pump Savings'!B39*0.01*24/(F37)&gt;$E$13*'Pump Savings'!$F$5,$E$13*'Pump Savings'!$F$5,$F$9*'Pump Savings'!B39*0.01*24/(F37))</f>
        <v>387.5</v>
      </c>
      <c r="F39">
        <f>IF(($F$13*(E39/$E$13)^2)&lt;$F$6,$F$6,($F$13*(E39/$E$13)^2))</f>
        <v>46.875</v>
      </c>
      <c r="G39">
        <f>(E39*F39)/(3960*Home!$F$17/100)</f>
        <v>6.5526920995670999</v>
      </c>
      <c r="H39">
        <f>SUM(E39*$F$37)*500</f>
        <v>1550000</v>
      </c>
      <c r="J39">
        <f>('Pump Savings'!D39*E39)*60</f>
        <v>31948973.787680212</v>
      </c>
      <c r="M39">
        <f>SUM(E39-$E$13)</f>
        <v>77.5</v>
      </c>
      <c r="N39">
        <f>SUM(J39-$J$13)</f>
        <v>6389794.7575360425</v>
      </c>
    </row>
    <row r="40" spans="5:18">
      <c r="E40">
        <f>IF(IF($F$9*12000*'Pump Savings'!B40/(100*500*$F$37)&gt;$E$13*'Pump Savings'!$F$5,$E$13*'Pump Savings'!$F$5,$F$9*12000*'Pump Savings'!B40/(100*500*$F$37))&lt;$N$5,$N$5,IF($F$9*12000*'Pump Savings'!B40/(100*500*$F$37)&gt;$E$13*'Pump Savings'!$F$5,$E$13*'Pump Savings'!$F$5,$F$9*12000*'Pump Savings'!B40/(100*500*$F$37)))</f>
        <v>348.75</v>
      </c>
      <c r="F40">
        <f>IF(($F$13*(E40/$E$13)^2)&lt;$F$6,$F$6,($F$13*(E40/$E$13)^2))</f>
        <v>37.96875</v>
      </c>
      <c r="G40">
        <f>(E40*F40)/(3960*Home!$F$17/100)</f>
        <v>4.7769125405844157</v>
      </c>
      <c r="H40">
        <f>SUM(E40*$F$37)*500</f>
        <v>1395000</v>
      </c>
      <c r="J40">
        <f>('Pump Savings'!D40*E40)*60</f>
        <v>57508152.817824379</v>
      </c>
      <c r="M40">
        <f>SUM(E40-$E$14)</f>
        <v>116.25</v>
      </c>
      <c r="N40">
        <f>SUM(J40-$J$14)</f>
        <v>19169384.272608124</v>
      </c>
      <c r="R40">
        <f>SUMPRODUCT(E39:E42,'Pump Savings'!D39:'Pump Savings'!D42)*60</f>
        <v>108626510.87811272</v>
      </c>
    </row>
    <row r="41" spans="5:18">
      <c r="E41">
        <f>IF(IF($F$9*12000*'Pump Savings'!B41/(100*500*$F$37)&gt;$E$13*'Pump Savings'!$F$5,$E$13*'Pump Savings'!$F$5,$F$9*12000*'Pump Savings'!B41/(100*500*$F$37))&lt;$N$5,$N$5,IF($F$9*12000*'Pump Savings'!B41/(100*500*$F$37)&gt;$E$13*'Pump Savings'!$F$5,$E$13*'Pump Savings'!$F$5,$F$9*12000*'Pump Savings'!B41/(100*500*$F$37)))</f>
        <v>232.5</v>
      </c>
      <c r="F41">
        <f>IF(($F$13*(E41/$E$13)^2)&lt;$F$6,$F$6,($F$13*(E41/$E$13)^2))</f>
        <v>16.875</v>
      </c>
      <c r="G41">
        <f>(E41*F41)/(3960*Home!$F$17/100)</f>
        <v>1.4153814935064934</v>
      </c>
      <c r="H41">
        <f>SUM(E41*$F$37)*500</f>
        <v>930000</v>
      </c>
      <c r="J41">
        <f>('Pump Savings'!D41*E41)*60</f>
        <v>19169384.272608127</v>
      </c>
      <c r="M41">
        <f>SUM(E41-$E$15)</f>
        <v>77.5</v>
      </c>
      <c r="N41">
        <f>SUM(J41-$J$15)</f>
        <v>6389794.7575360425</v>
      </c>
      <c r="R41">
        <f>+R40/(60*Home!$F$37)</f>
        <v>329.375</v>
      </c>
    </row>
    <row r="42" spans="5:18">
      <c r="E42">
        <f>IF(IF($F$9*12000*'Pump Savings'!B42/(100*500*$F$37)&gt;$E$13*'Pump Savings'!$F$5,$E$13*'Pump Savings'!$F$5,$F$9*12000*'Pump Savings'!B42/(100*500*$F$37))&lt;$N$5,$N$5,IF($F$9*12000*'Pump Savings'!B42/(100*500*$F$37)&gt;$E$13*'Pump Savings'!$F$5,$E$13*'Pump Savings'!$F$5,$F$9*12000*'Pump Savings'!B42/(100*500*$F$37)))</f>
        <v>116.25</v>
      </c>
      <c r="F42">
        <f>IF(($F$13*(E42/$E$13)^2)&lt;$F$6,$F$6,($F$13*(E42/$E$13)^2))</f>
        <v>4.21875</v>
      </c>
      <c r="G42">
        <f>(E42*F42)/(3960*Home!$F$17/100)</f>
        <v>0.17692268668831168</v>
      </c>
      <c r="H42">
        <f>SUM(E42*$F$37)*500</f>
        <v>465000</v>
      </c>
      <c r="J42">
        <f>('Pump Savings'!D42*E42)*60</f>
        <v>0</v>
      </c>
      <c r="M42">
        <f>SUM(E42-$E$16)</f>
        <v>38.75</v>
      </c>
      <c r="N42">
        <f>SUM(J42-$J$16)</f>
        <v>0</v>
      </c>
    </row>
    <row r="45" spans="5:18">
      <c r="F45">
        <v>10</v>
      </c>
    </row>
    <row r="47" spans="5:18">
      <c r="E47">
        <f>IF($F$9*'Pump Savings'!B47*0.01*24/(F45)&gt;$E$13*'Pump Savings'!$F$5,$E$13*'Pump Savings'!$F$5,$F$9*'Pump Savings'!B47*0.01*24/(F45))</f>
        <v>372</v>
      </c>
      <c r="F47">
        <f>IF(($F$13*(E47/$E$13)^2)&lt;$F$6,$F$6,($F$13*(E47/$E$13)^2))</f>
        <v>43.199999999999996</v>
      </c>
      <c r="G47">
        <f>(E47*F47)/(3960*Home!$F$17/100)</f>
        <v>5.7974025974025967</v>
      </c>
      <c r="H47">
        <f>SUM(E47*$F$45)*500</f>
        <v>1860000</v>
      </c>
      <c r="J47">
        <f>('Pump Savings'!D47*E47)*60</f>
        <v>30671014.836173005</v>
      </c>
      <c r="M47">
        <f>SUM(E47-$E$13)</f>
        <v>62</v>
      </c>
      <c r="N47">
        <f>SUM(J47-$J$13)</f>
        <v>5111835.8060288355</v>
      </c>
    </row>
    <row r="48" spans="5:18">
      <c r="E48">
        <f>IF(IF($F$9*12000*'Pump Savings'!B48/(100*500*$F$45)&gt;$E$13*'Pump Savings'!$F$5,$E$13*'Pump Savings'!$F$5,$F$9*12000*'Pump Savings'!B48/(100*500*$F$45))&lt;$N$5,$N$5,IF($F$9*12000*'Pump Savings'!B48/(100*500*$F$45)&gt;$E$13*'Pump Savings'!$F$5,$E$13*'Pump Savings'!$F$5,$F$9*12000*'Pump Savings'!B48/(100*500*$F$45)))</f>
        <v>279</v>
      </c>
      <c r="F48">
        <f>IF(($F$13*(E48/$E$13)^2)&lt;$F$6,$F$6,($F$13*(E48/$E$13)^2))</f>
        <v>24.3</v>
      </c>
      <c r="G48">
        <f>(E48*F48)/(3960*Home!$F$17/100)</f>
        <v>2.4457792207792206</v>
      </c>
      <c r="H48">
        <f>SUM(E48*$F$45)*500</f>
        <v>1395000</v>
      </c>
      <c r="J48">
        <f>('Pump Savings'!D48*E48)*60</f>
        <v>46006522.254259504</v>
      </c>
      <c r="M48">
        <f>SUM(E48-$E$14)</f>
        <v>46.5</v>
      </c>
      <c r="N48">
        <f>SUM(J48-$J$14)</f>
        <v>7667753.7090432495</v>
      </c>
      <c r="R48">
        <f>SUMPRODUCT(E47:E50,'Pump Savings'!D47:'Pump Savings'!D50)*60</f>
        <v>92013044.508519009</v>
      </c>
    </row>
    <row r="49" spans="5:18">
      <c r="E49">
        <f>IF(IF($F$9*12000*'Pump Savings'!B49/(100*500*$F$45)&gt;$E$13*'Pump Savings'!$F$5,$E$13*'Pump Savings'!$F$5,$F$9*12000*'Pump Savings'!B49/(100*500*$F$45))&lt;$N$5,$N$5,IF($F$9*12000*'Pump Savings'!B49/(100*500*$F$45)&gt;$E$13*'Pump Savings'!$F$5,$E$13*'Pump Savings'!$F$5,$F$9*12000*'Pump Savings'!B49/(100*500*$F$45)))</f>
        <v>186</v>
      </c>
      <c r="F49">
        <f>IF(($F$13*(E49/$E$13)^2)&lt;$F$6,$F$6,($F$13*(E49/$E$13)^2))</f>
        <v>10.799999999999999</v>
      </c>
      <c r="G49">
        <f>(E49*F49)/(3960*Home!$F$17/100)</f>
        <v>0.72467532467532458</v>
      </c>
      <c r="H49">
        <f>SUM(E49*$F$45)*500</f>
        <v>930000</v>
      </c>
      <c r="J49">
        <f>('Pump Savings'!D49*E49)*60</f>
        <v>15335507.418086503</v>
      </c>
      <c r="M49">
        <f>SUM(E49-$E$15)</f>
        <v>31</v>
      </c>
      <c r="N49">
        <f>SUM(J49-$J$15)</f>
        <v>2555917.9030144177</v>
      </c>
      <c r="R49">
        <f>+R48/(60*Home!$F$37)</f>
        <v>279</v>
      </c>
    </row>
    <row r="50" spans="5:18">
      <c r="E50">
        <f>IF(IF($F$9*12000*'Pump Savings'!B50/(100*500*$F$45)&gt;$E$13*'Pump Savings'!$F$5,$E$13*'Pump Savings'!$F$5,$F$9*12000*'Pump Savings'!B50/(100*500*$F$45))&lt;$N$5,$N$5,IF($F$9*12000*'Pump Savings'!B50/(100*500*$F$45)&gt;$E$13*'Pump Savings'!$F$5,$E$13*'Pump Savings'!$F$5,$F$9*12000*'Pump Savings'!B50/(100*500*$F$45)))</f>
        <v>93</v>
      </c>
      <c r="F50">
        <f>IF(($F$13*(E50/$E$13)^2)&lt;$F$6,$F$6,($F$13*(E50/$E$13)^2))</f>
        <v>2.6999999999999997</v>
      </c>
      <c r="G50">
        <f>(E50*F50)/(3960*Home!$F$17/100)</f>
        <v>9.0584415584415573E-2</v>
      </c>
      <c r="H50">
        <f>SUM(E50*$F$45)*500</f>
        <v>465000</v>
      </c>
      <c r="J50">
        <f>('Pump Savings'!D50*E50)*60</f>
        <v>0</v>
      </c>
      <c r="M50">
        <f>SUM(E50-$E$16)</f>
        <v>15.5</v>
      </c>
      <c r="N50">
        <f>SUM(J50-$J$16)</f>
        <v>0</v>
      </c>
    </row>
    <row r="53" spans="5:18">
      <c r="F53">
        <v>12</v>
      </c>
    </row>
    <row r="55" spans="5:18">
      <c r="E55">
        <f>IF($F$9*'Pump Savings'!B55*0.01*24/(F53)&gt;$E$13*'Pump Savings'!$F$5,$E$13*'Pump Savings'!$F$5,$F$9*'Pump Savings'!B55*0.01*24/(F53))</f>
        <v>310</v>
      </c>
      <c r="F55">
        <f>IF(($F$13*(E55/$E$13)^2)&lt;$F$6,$F$6,($F$13*(E55/$E$13)^2))</f>
        <v>30</v>
      </c>
      <c r="G55">
        <f>(E55*F55)/(3960*Home!$F$17/100)</f>
        <v>3.3549783549783552</v>
      </c>
      <c r="H55">
        <f>SUM(E55*$F$53)*500</f>
        <v>1860000</v>
      </c>
      <c r="J55">
        <f>('Pump Savings'!D55*E55)*60</f>
        <v>25559179.03014417</v>
      </c>
      <c r="M55">
        <f>SUM(E55-$E$13)</f>
        <v>0</v>
      </c>
      <c r="N55">
        <f>SUM(J55-$J$13)</f>
        <v>0</v>
      </c>
    </row>
    <row r="56" spans="5:18">
      <c r="E56">
        <f>IF(IF($F$9*12000*'Pump Savings'!B56/(100*500*$F$53)&gt;$E$13*'Pump Savings'!$F$5,$E$13*'Pump Savings'!$F$5,$F$9*12000*'Pump Savings'!B56/(100*500*$F$53))&lt;$N$5,$N$5,IF($F$9*12000*'Pump Savings'!B56/(100*500*$F$53)&gt;$E$13*'Pump Savings'!$F$5,$E$13*'Pump Savings'!$F$5,$F$9*12000*'Pump Savings'!B56/(100*500*$F$53)))</f>
        <v>232.5</v>
      </c>
      <c r="F56">
        <f>IF(($F$13*(E56/$E$13)^2)&lt;$F$6,$F$6,($F$13*(E56/$E$13)^2))</f>
        <v>16.875</v>
      </c>
      <c r="G56">
        <f>(E56*F56)/(3960*Home!$F$17/100)</f>
        <v>1.4153814935064934</v>
      </c>
      <c r="H56">
        <f>SUM(E56*$F$53)*500</f>
        <v>1395000</v>
      </c>
      <c r="J56">
        <f>('Pump Savings'!D56*E56)*60</f>
        <v>38338768.545216255</v>
      </c>
      <c r="M56">
        <f>SUM(E56-$E$14)</f>
        <v>0</v>
      </c>
      <c r="N56">
        <f>SUM(J56-$J$14)</f>
        <v>0</v>
      </c>
      <c r="R56">
        <f>SUMPRODUCT(E55:E58,'Pump Savings'!D55:'Pump Savings'!D58)*60</f>
        <v>76677537.09043251</v>
      </c>
    </row>
    <row r="57" spans="5:18">
      <c r="E57">
        <f>IF(IF($F$9*12000*'Pump Savings'!B57/(100*500*$F$53)&gt;$E$13*'Pump Savings'!$F$5,$E$13*'Pump Savings'!$F$5,$F$9*12000*'Pump Savings'!B57/(100*500*$F$53))&lt;$N$5,$N$5,IF($F$9*12000*'Pump Savings'!B57/(100*500*$F$53)&gt;$E$13*'Pump Savings'!$F$5,$E$13*'Pump Savings'!$F$5,$F$9*12000*'Pump Savings'!B57/(100*500*$F$53)))</f>
        <v>155</v>
      </c>
      <c r="F57">
        <f>IF(($F$13*(E57/$E$13)^2)&lt;$F$6,$F$6,($F$13*(E57/$E$13)^2))</f>
        <v>7.5</v>
      </c>
      <c r="G57">
        <f>(E57*F57)/(3960*Home!$F$17/100)</f>
        <v>0.4193722943722944</v>
      </c>
      <c r="H57">
        <f>SUM(E57*$F$53)*500</f>
        <v>930000</v>
      </c>
      <c r="J57">
        <f>('Pump Savings'!D57*E57)*60</f>
        <v>12779589.515072085</v>
      </c>
      <c r="M57">
        <f>SUM(E57-$E$15)</f>
        <v>0</v>
      </c>
      <c r="N57">
        <f>SUM(J57-$J$15)</f>
        <v>0</v>
      </c>
      <c r="R57">
        <f>+R56/(60*Home!$F$37)</f>
        <v>232.50000000000003</v>
      </c>
    </row>
    <row r="58" spans="5:18">
      <c r="E58">
        <f>IF(IF($F$9*12000*'Pump Savings'!B58/(100*500*$F$53)&gt;$E$13*'Pump Savings'!$F$5,$E$13*'Pump Savings'!$F$5,$F$9*12000*'Pump Savings'!B58/(100*500*$F$53))&lt;$N$5,$N$5,IF($F$9*12000*'Pump Savings'!B58/(100*500*$F$53)&gt;$E$13*'Pump Savings'!$F$5,$E$13*'Pump Savings'!$F$5,$F$9*12000*'Pump Savings'!B58/(100*500*$F$53)))</f>
        <v>77.5</v>
      </c>
      <c r="F58">
        <f>IF(($F$13*(E58/$E$13)^2)&lt;$F$6,$F$6,($F$13*(E58/$E$13)^2))</f>
        <v>1.875</v>
      </c>
      <c r="G58">
        <f>(E58*F58)/(3960*Home!$F$17/100)</f>
        <v>5.24215367965368E-2</v>
      </c>
      <c r="H58">
        <f>SUM(E58*$F$53)*500</f>
        <v>465000</v>
      </c>
      <c r="J58">
        <f>('Pump Savings'!D58*E58)*60</f>
        <v>0</v>
      </c>
      <c r="M58">
        <f>SUM(E58-$E$16)</f>
        <v>0</v>
      </c>
      <c r="N58">
        <f>SUM(J58-$J$16)</f>
        <v>0</v>
      </c>
    </row>
    <row r="61" spans="5:18">
      <c r="F61">
        <v>14</v>
      </c>
    </row>
    <row r="63" spans="5:18">
      <c r="E63">
        <f>IF($F$9*'Pump Savings'!B63*0.01*24/(F61)&gt;$E$13*'Pump Savings'!$F$5,$E$13*'Pump Savings'!$F$5,$F$9*'Pump Savings'!B63*0.01*24/(F61))</f>
        <v>265.71428571428572</v>
      </c>
      <c r="F63">
        <f>IF(($F$13*(E63/$E$13)^2)&lt;$F$6,$F$6,($F$13*(E63/$E$13)^2))</f>
        <v>22.040816326530617</v>
      </c>
      <c r="G63">
        <f>(E63*F63)/(3960*Home!$F$17/100)</f>
        <v>2.1127560486161072</v>
      </c>
      <c r="H63">
        <f>SUM(E63*$F$61)*500</f>
        <v>1860000</v>
      </c>
      <c r="J63">
        <f>('Pump Savings'!D63*E63)*60</f>
        <v>21907867.740123574</v>
      </c>
      <c r="M63">
        <f>SUM(E63-$E$13)</f>
        <v>-44.285714285714278</v>
      </c>
      <c r="N63">
        <f>SUM(J63-$J$13)</f>
        <v>-3651311.2900205962</v>
      </c>
    </row>
    <row r="64" spans="5:18">
      <c r="E64">
        <f>IF(IF($F$9*12000*'Pump Savings'!B64/(100*500*$F$61)&gt;$E$13*'Pump Savings'!$F$5,$E$13*'Pump Savings'!$F$5,$F$9*12000*'Pump Savings'!B64/(100*500*$F$61))&lt;$N$5,$N$5,IF($F$9*12000*'Pump Savings'!B64/(100*500*$F$61)&gt;$E$13*'Pump Savings'!$F$5,$E$13*'Pump Savings'!$F$5,$F$9*12000*'Pump Savings'!B64/(100*500*$F$61)))</f>
        <v>199.28571428571428</v>
      </c>
      <c r="F64">
        <f>IF(($F$13*(E64/$E$13)^2)&lt;$F$6,$F$6,($F$13*(E64/$E$13)^2))</f>
        <v>12.397959183673466</v>
      </c>
      <c r="G64">
        <f>(E64*F64)/(3960*Home!$F$17/100)</f>
        <v>0.89131895800991978</v>
      </c>
      <c r="H64">
        <f>SUM(E64*$F$61)*500</f>
        <v>1395000</v>
      </c>
      <c r="J64">
        <f>('Pump Savings'!D64*E64)*60</f>
        <v>32861801.610185362</v>
      </c>
      <c r="M64">
        <f>SUM(E64-$E$14)</f>
        <v>-33.214285714285722</v>
      </c>
      <c r="N64">
        <f>SUM(J64-$J$14)</f>
        <v>-5476966.9350308925</v>
      </c>
      <c r="R64">
        <f>SUMPRODUCT(E63:E66,'Pump Savings'!D63:'Pump Savings'!D66)*60</f>
        <v>65723603.220370725</v>
      </c>
    </row>
    <row r="65" spans="5:18">
      <c r="E65">
        <f>IF(IF($F$9*12000*'Pump Savings'!B65/(100*500*$F$61)&gt;$E$13*'Pump Savings'!$F$5,$E$13*'Pump Savings'!$F$5,$F$9*12000*'Pump Savings'!B65/(100*500*$F$61))&lt;$N$5,$N$5,IF($F$9*12000*'Pump Savings'!B65/(100*500*$F$61)&gt;$E$13*'Pump Savings'!$F$5,$E$13*'Pump Savings'!$F$5,$F$9*12000*'Pump Savings'!B65/(100*500*$F$61)))</f>
        <v>132.85714285714286</v>
      </c>
      <c r="F65">
        <f>IF(($F$13*(E65/$E$13)^2)&lt;$F$6,$F$6,($F$13*(E65/$E$13)^2))</f>
        <v>5.5102040816326543</v>
      </c>
      <c r="G65">
        <f>(E65*F65)/(3960*Home!$F$17/100)</f>
        <v>0.2640945060770134</v>
      </c>
      <c r="H65">
        <f>SUM(E65*$F$61)*500</f>
        <v>930000</v>
      </c>
      <c r="J65">
        <f>('Pump Savings'!D65*E65)*60</f>
        <v>10953933.870061787</v>
      </c>
      <c r="M65">
        <f>SUM(E65-$E$15)</f>
        <v>-22.142857142857139</v>
      </c>
      <c r="N65">
        <f>SUM(J65-$J$15)</f>
        <v>-1825655.6450102981</v>
      </c>
      <c r="R65">
        <f>+R64/(60*Home!$F$37)</f>
        <v>199.28571428571431</v>
      </c>
    </row>
    <row r="66" spans="5:18">
      <c r="E66">
        <f>IF(IF($F$9*12000*'Pump Savings'!B66/(100*500*$F$61)&gt;$E$13*'Pump Savings'!$F$5,$E$13*'Pump Savings'!$F$5,$F$9*12000*'Pump Savings'!B66/(100*500*$F$61))&lt;$N$5,$N$5,IF($F$9*12000*'Pump Savings'!B66/(100*500*$F$61)&gt;$E$13*'Pump Savings'!$F$5,$E$13*'Pump Savings'!$F$5,$F$9*12000*'Pump Savings'!B66/(100*500*$F$61)))</f>
        <v>66.428571428571431</v>
      </c>
      <c r="F66">
        <f>IF(($F$13*(E66/$E$13)^2)&lt;$F$6,$F$6,($F$13*(E66/$E$13)^2))</f>
        <v>1.3775510204081636</v>
      </c>
      <c r="G66">
        <f>(E66*F66)/(3960*Home!$F$17/100)</f>
        <v>3.3011813259626675E-2</v>
      </c>
      <c r="H66">
        <f>SUM(E66*$F$61)*500</f>
        <v>465000</v>
      </c>
      <c r="J66">
        <f>('Pump Savings'!D66*E66)*60</f>
        <v>0</v>
      </c>
      <c r="M66">
        <f>SUM(E66-$E$16)</f>
        <v>-11.071428571428569</v>
      </c>
      <c r="N66">
        <f>SUM(J66-$J$16)</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15A38-0463-44C7-9EA0-8D2C05E19A2F}">
  <sheetPr codeName="Sheet2">
    <tabColor rgb="FFFF6600"/>
    <pageSetUpPr fitToPage="1"/>
  </sheetPr>
  <dimension ref="A1:X111"/>
  <sheetViews>
    <sheetView showGridLines="0" showRowColHeaders="0" workbookViewId="0">
      <selection activeCell="S11" sqref="S11"/>
    </sheetView>
  </sheetViews>
  <sheetFormatPr defaultRowHeight="13.2"/>
  <cols>
    <col min="1" max="1" width="3.6640625" customWidth="1"/>
    <col min="5" max="5" width="10.5546875" customWidth="1"/>
    <col min="6" max="6" width="10.6640625" customWidth="1"/>
    <col min="11" max="11" width="5" customWidth="1"/>
    <col min="12" max="12" width="10.44140625" customWidth="1"/>
    <col min="13" max="17" width="9.109375" customWidth="1"/>
    <col min="18" max="18" width="4.88671875" customWidth="1"/>
    <col min="20" max="20" width="6.5546875" customWidth="1"/>
    <col min="24" max="24" width="4.5546875" customWidth="1"/>
  </cols>
  <sheetData>
    <row r="1" spans="1:24">
      <c r="A1" s="163"/>
      <c r="B1" s="163"/>
      <c r="C1" s="163"/>
      <c r="D1" s="163"/>
      <c r="E1" s="163"/>
      <c r="F1" s="163"/>
      <c r="G1" s="163"/>
      <c r="H1" s="163"/>
      <c r="I1" s="163"/>
      <c r="J1" s="163"/>
      <c r="K1" s="163"/>
      <c r="L1" s="163"/>
      <c r="M1" s="163"/>
      <c r="N1" s="163"/>
      <c r="O1" s="163"/>
      <c r="P1" s="163"/>
      <c r="Q1" s="163"/>
      <c r="R1" s="163"/>
      <c r="S1" s="163"/>
      <c r="T1" s="163"/>
      <c r="U1" s="163"/>
      <c r="V1" s="163"/>
      <c r="W1" s="163"/>
      <c r="X1" s="163"/>
    </row>
    <row r="2" spans="1:24" ht="34.5" customHeight="1">
      <c r="A2" s="163"/>
      <c r="B2" s="163"/>
      <c r="C2" s="163"/>
      <c r="D2" s="163"/>
      <c r="E2" s="163"/>
      <c r="F2" s="163"/>
      <c r="G2" s="163"/>
      <c r="H2" s="163"/>
      <c r="I2" s="163"/>
      <c r="J2" s="163"/>
      <c r="K2" s="163"/>
      <c r="L2" s="163"/>
      <c r="M2" s="163"/>
      <c r="N2" s="163"/>
      <c r="O2" s="163"/>
      <c r="P2" s="163"/>
      <c r="Q2" s="163"/>
      <c r="R2" s="163"/>
      <c r="S2" s="163"/>
      <c r="T2" s="163"/>
      <c r="U2" s="163"/>
      <c r="V2" s="163"/>
      <c r="W2" s="163"/>
      <c r="X2" s="163"/>
    </row>
    <row r="3" spans="1:24" ht="54" customHeight="1">
      <c r="A3" s="163"/>
      <c r="B3" s="163"/>
      <c r="C3" s="163"/>
      <c r="D3" s="163"/>
      <c r="E3" s="163"/>
      <c r="F3" s="163"/>
      <c r="G3" s="163"/>
      <c r="H3" s="163"/>
      <c r="I3" s="163"/>
      <c r="J3" s="163"/>
      <c r="K3" s="163"/>
      <c r="L3" s="163"/>
      <c r="M3" s="163"/>
      <c r="N3" s="163"/>
      <c r="O3" s="163"/>
      <c r="P3" s="163"/>
      <c r="Q3" s="163"/>
      <c r="R3" s="163"/>
      <c r="S3" s="163"/>
      <c r="T3" s="163"/>
      <c r="U3" s="163"/>
      <c r="V3" s="163"/>
      <c r="W3" s="163"/>
      <c r="X3" s="163"/>
    </row>
    <row r="4" spans="1:24" ht="14.25" customHeight="1">
      <c r="A4" s="163"/>
      <c r="B4" s="329" t="str">
        <f>Tr("USED_TO_CALC_PROJECTED_FLOW","Used to Calculate Projected Flow")</f>
        <v>Used to Calculate Projected Flow</v>
      </c>
      <c r="C4" s="330"/>
      <c r="D4" s="330"/>
      <c r="E4" s="330"/>
      <c r="F4" s="330"/>
      <c r="G4" s="330"/>
      <c r="H4" s="330"/>
      <c r="I4" s="330"/>
      <c r="J4" s="331"/>
      <c r="K4" s="163"/>
      <c r="L4" s="329" t="str">
        <f>Tr("USED_FOR_CHARTS","Used for Charts")</f>
        <v>Used for Charts</v>
      </c>
      <c r="M4" s="330"/>
      <c r="N4" s="330"/>
      <c r="O4" s="330"/>
      <c r="P4" s="330"/>
      <c r="Q4" s="331"/>
      <c r="R4" s="163"/>
      <c r="S4" s="163"/>
      <c r="T4" s="163"/>
      <c r="U4" s="163"/>
      <c r="V4" s="163"/>
      <c r="W4" s="163"/>
      <c r="X4" s="163"/>
    </row>
    <row r="5" spans="1:24" ht="13.8">
      <c r="A5" s="163"/>
      <c r="B5" s="334" t="str">
        <f>Tr("DDC_CONTROL_SIGNAL","DDC Control signal")</f>
        <v>DDC Control signal</v>
      </c>
      <c r="C5" s="335"/>
      <c r="D5" s="336"/>
      <c r="E5" s="334" t="str">
        <f>Tr("VALVE_POSITION_FLOW_BASED_ON_DDC","Valve Position &amp; Flow based on DDC Voltage")</f>
        <v>Valve Position &amp; Flow based on DDC Voltage</v>
      </c>
      <c r="F5" s="335"/>
      <c r="G5" s="335"/>
      <c r="H5" s="335"/>
      <c r="I5" s="335"/>
      <c r="J5" s="336"/>
      <c r="K5" s="163"/>
      <c r="L5" s="183"/>
      <c r="M5" s="162"/>
      <c r="N5" s="183"/>
      <c r="O5" s="183"/>
      <c r="P5" s="184"/>
      <c r="Q5" s="184"/>
      <c r="R5" s="163"/>
      <c r="S5" s="163"/>
      <c r="T5" s="163"/>
      <c r="U5" s="163"/>
      <c r="V5" s="163"/>
      <c r="W5" s="163"/>
      <c r="X5" s="163"/>
    </row>
    <row r="6" spans="1:24">
      <c r="A6" s="163"/>
      <c r="B6" s="73"/>
      <c r="C6" s="185" t="str">
        <f>Tr("VOLTAGE_WORD","Voltage")</f>
        <v>Voltage</v>
      </c>
      <c r="D6" s="188" t="str">
        <f>Tr("VOLTAGE_WORD","Voltage")</f>
        <v>Voltage</v>
      </c>
      <c r="E6" s="75" t="str">
        <f>Tr("LINEAR_PART","Linear Part")</f>
        <v>Linear Part</v>
      </c>
      <c r="F6" s="186" t="str">
        <f>Tr("EQUAL_PART","Equal Part")</f>
        <v>Equal Part</v>
      </c>
      <c r="G6" s="187" t="str">
        <f>Tr("VMAX_WORD","V'max")</f>
        <v>V'max</v>
      </c>
      <c r="H6" s="77" t="str">
        <f>Tr("VMAX_WORD","V'max")</f>
        <v>V'max</v>
      </c>
      <c r="I6" s="191" t="str">
        <f>Tr("DELTA_T_WORD","ΔT")</f>
        <v>ΔT</v>
      </c>
      <c r="J6" s="78" t="str">
        <f>Tr("BTUH_WORD","btuH")</f>
        <v>BTU/h</v>
      </c>
      <c r="K6" s="163"/>
      <c r="L6" s="178" t="str">
        <f>Tr("EQUAL_PART","Equal Part")</f>
        <v>Equal Part</v>
      </c>
      <c r="M6" s="179" t="str">
        <f>Tr("VMAX_WORD","V'max")</f>
        <v>V'max</v>
      </c>
      <c r="N6" s="163"/>
      <c r="O6" s="180" t="s">
        <v>55</v>
      </c>
      <c r="P6" s="181" t="str">
        <f>Tr("VMAX_WORD","V'max")</f>
        <v>V'max</v>
      </c>
      <c r="Q6" s="182" t="str">
        <f>Tr("BTUH_WORD","btuH")</f>
        <v>BTU/h</v>
      </c>
      <c r="R6" s="163"/>
      <c r="S6" s="332" t="str">
        <f>Tr("PROJECTED_FLOW_CALCULATIONS","Projected Flow Calculations")</f>
        <v>Projected Flow Calculations</v>
      </c>
      <c r="T6" s="333"/>
      <c r="U6" s="333"/>
      <c r="V6" s="333"/>
      <c r="W6" s="333"/>
      <c r="X6" s="163"/>
    </row>
    <row r="7" spans="1:24">
      <c r="A7" s="163"/>
      <c r="B7" s="73"/>
      <c r="C7" s="79">
        <v>0.5</v>
      </c>
      <c r="D7" s="189">
        <v>2</v>
      </c>
      <c r="E7" s="75"/>
      <c r="F7" s="76"/>
      <c r="G7" s="81" t="str">
        <f>Tr("LINEAR_WORD","Linear")</f>
        <v>Linear</v>
      </c>
      <c r="H7" s="82" t="str">
        <f>Tr("EQ_PCT_SPACE","EQ %")</f>
        <v>EQ %</v>
      </c>
      <c r="I7" s="191"/>
      <c r="J7" s="83"/>
      <c r="K7" s="163"/>
      <c r="L7" s="73"/>
      <c r="M7" s="84" t="str">
        <f>Tr("EQ_PCT_SPACE","EQ %")</f>
        <v>EQ %</v>
      </c>
      <c r="N7" s="163"/>
      <c r="O7" s="80">
        <v>2</v>
      </c>
      <c r="P7" s="82" t="str">
        <f>Tr("EQ_PCT_NOSPACE","EQ%")</f>
        <v>EQ%</v>
      </c>
      <c r="Q7" s="83"/>
      <c r="R7" s="163"/>
      <c r="S7" s="333"/>
      <c r="T7" s="333"/>
      <c r="U7" s="333"/>
      <c r="V7" s="333"/>
      <c r="W7" s="333"/>
      <c r="X7" s="163"/>
    </row>
    <row r="8" spans="1:24">
      <c r="A8" s="163"/>
      <c r="B8" s="73"/>
      <c r="C8" s="85">
        <v>10</v>
      </c>
      <c r="D8" s="190">
        <v>10</v>
      </c>
      <c r="E8" s="75"/>
      <c r="F8" s="76"/>
      <c r="G8" s="87">
        <f>+Model_Home!$F$11</f>
        <v>310</v>
      </c>
      <c r="H8" s="87">
        <f>Model_Home!$F$11</f>
        <v>310</v>
      </c>
      <c r="I8" s="88">
        <f>Model_Home!$F$18</f>
        <v>12</v>
      </c>
      <c r="J8" s="83"/>
      <c r="K8" s="163"/>
      <c r="L8" s="73"/>
      <c r="M8" s="89">
        <f>H8</f>
        <v>310</v>
      </c>
      <c r="N8" s="163"/>
      <c r="O8" s="86">
        <v>10</v>
      </c>
      <c r="P8" s="87">
        <f>H8</f>
        <v>310</v>
      </c>
      <c r="Q8" s="83"/>
      <c r="R8" s="163"/>
      <c r="S8" s="163"/>
      <c r="T8" s="163"/>
      <c r="U8" s="163"/>
      <c r="V8" s="163"/>
      <c r="W8" s="163"/>
      <c r="X8" s="163"/>
    </row>
    <row r="9" spans="1:24" ht="14.4" thickBot="1">
      <c r="A9" s="163"/>
      <c r="B9" s="73" t="str">
        <f>Tr("IN_PCT","In %")</f>
        <v>In %</v>
      </c>
      <c r="C9" s="73" t="str">
        <f>Tr("IN_V","In V")</f>
        <v>In V</v>
      </c>
      <c r="D9" s="76" t="str">
        <f>Tr("IN_V","In V")</f>
        <v>In V</v>
      </c>
      <c r="E9" s="75" t="str">
        <f>Tr("IN_PCT","In %")</f>
        <v>In %</v>
      </c>
      <c r="F9" s="76" t="str">
        <f>Tr("IN_PCT","In %")</f>
        <v>In %</v>
      </c>
      <c r="G9" s="90" t="str">
        <f>Tr("G_MIN","g/min.")</f>
        <v>g/min.</v>
      </c>
      <c r="H9" s="91" t="str">
        <f>Tr("G_MIN","g/min.")</f>
        <v>g/min.</v>
      </c>
      <c r="I9" s="191" t="s">
        <v>63</v>
      </c>
      <c r="J9" s="78" t="str">
        <f>Tr("BTU_H_SLASH_LOWER","btu/H")</f>
        <v>BTU/h</v>
      </c>
      <c r="K9" s="163"/>
      <c r="L9" s="73" t="str">
        <f>Tr("IN_PCT","In %")</f>
        <v>In %</v>
      </c>
      <c r="M9" s="92" t="str">
        <f>Tr("G_MIN","g/min.")</f>
        <v>g/min.</v>
      </c>
      <c r="N9" s="163"/>
      <c r="O9" s="74" t="str">
        <f>Tr("IN_V","In V")</f>
        <v>In V</v>
      </c>
      <c r="P9" s="91" t="str">
        <f>Tr("G_MIN","g/min.")</f>
        <v>g/min.</v>
      </c>
      <c r="Q9" s="78" t="str">
        <f>Tr("BTU_H_SLASH_LOWER","btu/H")</f>
        <v>BTU/h</v>
      </c>
      <c r="R9" s="163"/>
      <c r="S9" s="163"/>
      <c r="T9" s="163"/>
      <c r="U9" s="163"/>
      <c r="V9" s="163"/>
      <c r="W9" s="163"/>
      <c r="X9" s="163"/>
    </row>
    <row r="10" spans="1:24" ht="19.2" thickTop="1">
      <c r="A10" s="163"/>
      <c r="B10" s="93">
        <v>0</v>
      </c>
      <c r="C10" s="79">
        <v>0.5</v>
      </c>
      <c r="D10" s="189">
        <v>2</v>
      </c>
      <c r="E10" s="94">
        <v>0</v>
      </c>
      <c r="F10" s="95">
        <v>0.04</v>
      </c>
      <c r="G10" s="96">
        <f>IF(E10&lt;2.5%,0,$G$8*E10)</f>
        <v>0</v>
      </c>
      <c r="H10" s="97">
        <f>IF(F10&lt;5%,0,$H$8*F10)</f>
        <v>0</v>
      </c>
      <c r="I10" s="192"/>
      <c r="J10" s="98">
        <f>SUM(H10*$I$8)*500</f>
        <v>0</v>
      </c>
      <c r="K10" s="163"/>
      <c r="L10" s="99">
        <v>0.04</v>
      </c>
      <c r="M10" s="97">
        <f>H10</f>
        <v>0</v>
      </c>
      <c r="N10" s="163"/>
      <c r="O10" s="80">
        <v>2</v>
      </c>
      <c r="P10" s="100">
        <f>H10</f>
        <v>0</v>
      </c>
      <c r="Q10" s="98">
        <f>SUM(H10*$I$8)*500</f>
        <v>0</v>
      </c>
      <c r="R10" s="163"/>
      <c r="S10" s="170" t="str">
        <f>Tr("EXAMPLE_WORD","Example:")</f>
        <v>Example:</v>
      </c>
      <c r="T10" s="171"/>
      <c r="U10" s="171"/>
      <c r="V10" s="171"/>
      <c r="W10" s="171"/>
      <c r="X10" s="172"/>
    </row>
    <row r="11" spans="1:24" ht="15.6">
      <c r="A11" s="163"/>
      <c r="B11" s="93">
        <v>1</v>
      </c>
      <c r="C11" s="79">
        <v>0.59499999999999997</v>
      </c>
      <c r="D11" s="189">
        <v>2.08</v>
      </c>
      <c r="E11" s="94">
        <v>3.4999999999999996E-3</v>
      </c>
      <c r="F11" s="95">
        <v>4.1308961178316256E-2</v>
      </c>
      <c r="G11" s="96">
        <f>IF(E11&lt;2.5%,0,$G$8*E11)</f>
        <v>0</v>
      </c>
      <c r="H11" s="97">
        <f>IF(F11&lt;5%,0,$H$8*F11)</f>
        <v>0</v>
      </c>
      <c r="I11" s="192"/>
      <c r="J11" s="98">
        <f>SUM(H11*$I$8)*500</f>
        <v>0</v>
      </c>
      <c r="K11" s="163"/>
      <c r="L11" s="99">
        <v>4.1308961178316256E-2</v>
      </c>
      <c r="M11" s="97">
        <f>H11</f>
        <v>0</v>
      </c>
      <c r="N11" s="163"/>
      <c r="O11" s="80">
        <v>2.08</v>
      </c>
      <c r="P11" s="100">
        <f>H11</f>
        <v>0</v>
      </c>
      <c r="Q11" s="98">
        <f>SUM(H11*$I$8)*500</f>
        <v>0</v>
      </c>
      <c r="R11" s="163"/>
      <c r="S11" s="173" t="str">
        <f>Tr("ENERGY_VALVE_VMAX_PREFIX","An Energy Valve with a V'max of ")&amp;TEXT(displayValue(H8,"FLOW"),"0")&amp;" "&amp;UnitText("FLOW")</f>
        <v>An Energy Valve with a V'max of 310 GPM</v>
      </c>
      <c r="T11" s="163"/>
      <c r="U11" s="163"/>
      <c r="V11" s="163"/>
      <c r="W11" s="163"/>
      <c r="X11" s="174"/>
    </row>
    <row r="12" spans="1:24" ht="15.6">
      <c r="A12" s="163"/>
      <c r="B12" s="93">
        <v>2</v>
      </c>
      <c r="C12" s="79">
        <v>0.69</v>
      </c>
      <c r="D12" s="189">
        <v>2.16</v>
      </c>
      <c r="E12" s="94">
        <v>6.9999999999999993E-3</v>
      </c>
      <c r="F12" s="95">
        <v>4.266075684079098E-2</v>
      </c>
      <c r="G12" s="96">
        <f>IF(E12&lt;2.5%,0,$G$8*E12)</f>
        <v>0</v>
      </c>
      <c r="H12" s="97">
        <f>IF(F12&lt;5%,0,$H$8*F12)</f>
        <v>0</v>
      </c>
      <c r="I12" s="192"/>
      <c r="J12" s="98">
        <f>SUM(H12*$I$8)*500</f>
        <v>0</v>
      </c>
      <c r="K12" s="163"/>
      <c r="L12" s="99">
        <v>4.266075684079098E-2</v>
      </c>
      <c r="M12" s="97">
        <f>H12</f>
        <v>0</v>
      </c>
      <c r="N12" s="163"/>
      <c r="O12" s="80">
        <v>2.16</v>
      </c>
      <c r="P12" s="100">
        <f>H12</f>
        <v>0</v>
      </c>
      <c r="Q12" s="98">
        <f>SUM(H12*$I$8)*500</f>
        <v>0</v>
      </c>
      <c r="R12" s="163"/>
      <c r="S12" s="173" t="str">
        <f>Tr("AT_X_VOLTS_PREFIX","At ")&amp;D21&amp;Tr("VOLTS_YOU_WOULD_BE_FLOWING"," volts, you would be flowing ")&amp;TEXT(displayValue(H21,"FLOW"),"0.00")&amp;" "&amp;UnitText("FLOW")</f>
        <v>At 2.88 volts, you would be flowing 17.67 GPM</v>
      </c>
      <c r="T12" s="163"/>
      <c r="U12" s="163"/>
      <c r="V12" s="163"/>
      <c r="W12" s="163"/>
      <c r="X12" s="174"/>
    </row>
    <row r="13" spans="1:24" ht="15.6">
      <c r="A13" s="163"/>
      <c r="B13" s="93">
        <v>3</v>
      </c>
      <c r="C13" s="79">
        <v>0.78499999999999992</v>
      </c>
      <c r="D13" s="189">
        <v>2.2400000000000002</v>
      </c>
      <c r="E13" s="94">
        <v>1.0499999999999999E-2</v>
      </c>
      <c r="F13" s="95">
        <v>4.4056788704345602E-2</v>
      </c>
      <c r="G13" s="96">
        <f>IF(E13&lt;2.5%,0,$G$8*E13)</f>
        <v>0</v>
      </c>
      <c r="H13" s="97">
        <f>IF(F13&lt;5%,0,$H$8*F13)</f>
        <v>0</v>
      </c>
      <c r="I13" s="192"/>
      <c r="J13" s="98">
        <f>SUM(H13*$I$8)*500</f>
        <v>0</v>
      </c>
      <c r="K13" s="163"/>
      <c r="L13" s="99">
        <v>4.4056788704345602E-2</v>
      </c>
      <c r="M13" s="97">
        <f>H13</f>
        <v>0</v>
      </c>
      <c r="N13" s="163"/>
      <c r="O13" s="80">
        <v>2.2400000000000002</v>
      </c>
      <c r="P13" s="100">
        <f>H13</f>
        <v>0</v>
      </c>
      <c r="Q13" s="98">
        <f>SUM(H13*$I$8)*500</f>
        <v>0</v>
      </c>
      <c r="R13" s="163"/>
      <c r="S13" s="173" t="str">
        <f>Tr("AT_X_VOLTS_PREFIX","At ")&amp;TEXT(F21,"0%")&amp;Tr("VALVE_OPENING_SUFFIX"," Valve Opening")</f>
        <v>At 6% Valve Opening</v>
      </c>
      <c r="T13" s="163"/>
      <c r="U13" s="163"/>
      <c r="V13" s="163"/>
      <c r="W13" s="163"/>
      <c r="X13" s="174"/>
    </row>
    <row r="14" spans="1:24" ht="16.2" thickBot="1">
      <c r="A14" s="163"/>
      <c r="B14" s="93">
        <v>4</v>
      </c>
      <c r="C14" s="79">
        <v>0.87999999999999989</v>
      </c>
      <c r="D14" s="189">
        <v>2.3200000000000003</v>
      </c>
      <c r="E14" s="94">
        <v>1.3999999999999999E-2</v>
      </c>
      <c r="F14" s="95">
        <v>4.5498504355727366E-2</v>
      </c>
      <c r="G14" s="96">
        <f t="shared" ref="G14:G45" si="0">IF(E14&lt;2.5%,0,$G$8*E14)</f>
        <v>0</v>
      </c>
      <c r="H14" s="97">
        <f t="shared" ref="H14:H45" si="1">IF(F14&lt;5%,0,$H$8*F14)</f>
        <v>0</v>
      </c>
      <c r="I14" s="192"/>
      <c r="J14" s="98">
        <f t="shared" ref="J14:J45" si="2">SUM(H14*$I$8)*500</f>
        <v>0</v>
      </c>
      <c r="K14" s="163"/>
      <c r="L14" s="99">
        <v>4.5498504355727366E-2</v>
      </c>
      <c r="M14" s="97">
        <f t="shared" ref="M14:M45" si="3">H14</f>
        <v>0</v>
      </c>
      <c r="N14" s="163"/>
      <c r="O14" s="80">
        <v>2.3200000000000003</v>
      </c>
      <c r="P14" s="100">
        <f t="shared" ref="P14:P45" si="4">H14</f>
        <v>0</v>
      </c>
      <c r="Q14" s="98">
        <f t="shared" ref="Q14:Q45" si="5">SUM(H14*$I$8)*500</f>
        <v>0</v>
      </c>
      <c r="R14" s="163"/>
      <c r="S14" s="175" t="str">
        <f>Tr("PRODUCING_PREFIX","Producing ")&amp;TEXT(J21,"###,###")&amp;Tr("BTUS_AT_A_MID"," btu's at a ")&amp;I8&amp;Tr("DELTAT_SUFFIX"," DeltaT")</f>
        <v>Producing 106,023 BTU/h at a 12 Delta T</v>
      </c>
      <c r="T14" s="176"/>
      <c r="U14" s="176"/>
      <c r="V14" s="176"/>
      <c r="W14" s="176"/>
      <c r="X14" s="177"/>
    </row>
    <row r="15" spans="1:24" ht="13.8" thickTop="1">
      <c r="A15" s="163"/>
      <c r="B15" s="93">
        <v>5</v>
      </c>
      <c r="C15" s="79">
        <v>0.98</v>
      </c>
      <c r="D15" s="189">
        <v>2.4000000000000004</v>
      </c>
      <c r="E15" s="94">
        <v>1.7499999999999998E-2</v>
      </c>
      <c r="F15" s="95">
        <v>4.6987398752554865E-2</v>
      </c>
      <c r="G15" s="96">
        <f t="shared" si="0"/>
        <v>0</v>
      </c>
      <c r="H15" s="97">
        <f t="shared" si="1"/>
        <v>0</v>
      </c>
      <c r="I15" s="192"/>
      <c r="J15" s="98">
        <f t="shared" si="2"/>
        <v>0</v>
      </c>
      <c r="K15" s="163"/>
      <c r="L15" s="99">
        <v>4.6987398752554865E-2</v>
      </c>
      <c r="M15" s="97">
        <f t="shared" si="3"/>
        <v>0</v>
      </c>
      <c r="N15" s="163"/>
      <c r="O15" s="80">
        <v>2.4000000000000004</v>
      </c>
      <c r="P15" s="100">
        <f t="shared" si="4"/>
        <v>0</v>
      </c>
      <c r="Q15" s="98">
        <f t="shared" si="5"/>
        <v>0</v>
      </c>
      <c r="R15" s="163"/>
      <c r="S15" s="163"/>
      <c r="T15" s="163"/>
      <c r="U15" s="163"/>
      <c r="V15" s="163"/>
      <c r="W15" s="163"/>
      <c r="X15" s="163"/>
    </row>
    <row r="16" spans="1:24">
      <c r="A16" s="163"/>
      <c r="B16" s="93">
        <v>6</v>
      </c>
      <c r="C16" s="79">
        <v>1.0699999999999998</v>
      </c>
      <c r="D16" s="189">
        <v>2.4800000000000004</v>
      </c>
      <c r="E16" s="94">
        <v>2.0999999999999998E-2</v>
      </c>
      <c r="F16" s="95">
        <v>4.8525015773483865E-2</v>
      </c>
      <c r="G16" s="96">
        <f t="shared" si="0"/>
        <v>0</v>
      </c>
      <c r="H16" s="97">
        <f t="shared" si="1"/>
        <v>0</v>
      </c>
      <c r="I16" s="192"/>
      <c r="J16" s="98">
        <f t="shared" si="2"/>
        <v>0</v>
      </c>
      <c r="K16" s="163"/>
      <c r="L16" s="99">
        <v>4.8525015773483865E-2</v>
      </c>
      <c r="M16" s="97">
        <f t="shared" si="3"/>
        <v>0</v>
      </c>
      <c r="N16" s="163"/>
      <c r="O16" s="80">
        <v>2.4800000000000004</v>
      </c>
      <c r="P16" s="100">
        <f t="shared" si="4"/>
        <v>0</v>
      </c>
      <c r="Q16" s="98">
        <f t="shared" si="5"/>
        <v>0</v>
      </c>
      <c r="R16" s="163"/>
      <c r="S16" s="193" t="str">
        <f>Tr("HINT_REFER_TO_THE","Hint: Refer to the ")</f>
        <v xml:space="preserve">Hint: Refer to the </v>
      </c>
      <c r="T16" s="163"/>
      <c r="U16" s="194" t="str">
        <f>Tr("BLUE_WORD","Blue")</f>
        <v>Blue</v>
      </c>
      <c r="V16" s="193" t="str">
        <f>Tr("COLUMNS_WORD","Columns")</f>
        <v>Columns</v>
      </c>
      <c r="W16" s="163"/>
      <c r="X16" s="163"/>
    </row>
    <row r="17" spans="1:24">
      <c r="A17" s="163"/>
      <c r="B17" s="93">
        <v>7</v>
      </c>
      <c r="C17" s="79">
        <v>1.1649999999999998</v>
      </c>
      <c r="D17" s="189">
        <v>2.5600000000000005</v>
      </c>
      <c r="E17" s="94">
        <v>2.4500000000000001E-2</v>
      </c>
      <c r="F17" s="95">
        <v>5.0112949819100722E-2</v>
      </c>
      <c r="G17" s="96">
        <f t="shared" si="0"/>
        <v>0</v>
      </c>
      <c r="H17" s="97">
        <f t="shared" si="1"/>
        <v>15.535014443921224</v>
      </c>
      <c r="I17" s="192"/>
      <c r="J17" s="98">
        <f t="shared" si="2"/>
        <v>93210.086663527341</v>
      </c>
      <c r="K17" s="163"/>
      <c r="L17" s="99">
        <v>5.0112949819100722E-2</v>
      </c>
      <c r="M17" s="97">
        <f t="shared" si="3"/>
        <v>15.535014443921224</v>
      </c>
      <c r="N17" s="163"/>
      <c r="O17" s="80">
        <v>2.5600000000000005</v>
      </c>
      <c r="P17" s="100">
        <f t="shared" si="4"/>
        <v>15.535014443921224</v>
      </c>
      <c r="Q17" s="98">
        <f t="shared" si="5"/>
        <v>93210.086663527341</v>
      </c>
      <c r="R17" s="163"/>
      <c r="S17" s="163"/>
      <c r="T17" s="163"/>
      <c r="U17" s="163"/>
      <c r="V17" s="163"/>
      <c r="W17" s="163"/>
      <c r="X17" s="163"/>
    </row>
    <row r="18" spans="1:24">
      <c r="A18" s="163"/>
      <c r="B18" s="93">
        <v>8</v>
      </c>
      <c r="C18" s="79">
        <v>1.2599999999999998</v>
      </c>
      <c r="D18" s="189">
        <v>2.6400000000000006</v>
      </c>
      <c r="E18" s="94">
        <v>2.7999999999999997E-2</v>
      </c>
      <c r="F18" s="95">
        <v>5.1752847465203498E-2</v>
      </c>
      <c r="G18" s="96">
        <f t="shared" si="0"/>
        <v>8.68</v>
      </c>
      <c r="H18" s="97">
        <f t="shared" si="1"/>
        <v>16.043382714213084</v>
      </c>
      <c r="I18" s="192"/>
      <c r="J18" s="98">
        <f t="shared" si="2"/>
        <v>96260.296285278513</v>
      </c>
      <c r="K18" s="163"/>
      <c r="L18" s="99">
        <v>5.1752847465203498E-2</v>
      </c>
      <c r="M18" s="97">
        <f t="shared" si="3"/>
        <v>16.043382714213084</v>
      </c>
      <c r="N18" s="163"/>
      <c r="O18" s="80">
        <v>2.6400000000000006</v>
      </c>
      <c r="P18" s="100">
        <f t="shared" si="4"/>
        <v>16.043382714213084</v>
      </c>
      <c r="Q18" s="98">
        <f t="shared" si="5"/>
        <v>96260.296285278513</v>
      </c>
      <c r="R18" s="163"/>
      <c r="S18" s="163"/>
      <c r="T18" s="163"/>
      <c r="U18" s="163"/>
      <c r="V18" s="163"/>
      <c r="W18" s="163"/>
      <c r="X18" s="163"/>
    </row>
    <row r="19" spans="1:24">
      <c r="A19" s="163"/>
      <c r="B19" s="93">
        <v>9</v>
      </c>
      <c r="C19" s="79">
        <v>1.3549999999999998</v>
      </c>
      <c r="D19" s="189">
        <v>2.7200000000000006</v>
      </c>
      <c r="E19" s="94">
        <v>3.15E-2</v>
      </c>
      <c r="F19" s="95">
        <v>5.3446409170185401E-2</v>
      </c>
      <c r="G19" s="96">
        <f t="shared" si="0"/>
        <v>9.7650000000000006</v>
      </c>
      <c r="H19" s="97">
        <f t="shared" si="1"/>
        <v>16.568386842757473</v>
      </c>
      <c r="I19" s="192"/>
      <c r="J19" s="98">
        <f t="shared" si="2"/>
        <v>99410.321056544824</v>
      </c>
      <c r="K19" s="163"/>
      <c r="L19" s="99">
        <v>5.3446409170185401E-2</v>
      </c>
      <c r="M19" s="97">
        <f t="shared" si="3"/>
        <v>16.568386842757473</v>
      </c>
      <c r="N19" s="163"/>
      <c r="O19" s="80">
        <v>2.7200000000000006</v>
      </c>
      <c r="P19" s="100">
        <f t="shared" si="4"/>
        <v>16.568386842757473</v>
      </c>
      <c r="Q19" s="98">
        <f t="shared" si="5"/>
        <v>99410.321056544824</v>
      </c>
      <c r="R19" s="163"/>
      <c r="S19" s="163"/>
      <c r="T19" s="163"/>
      <c r="U19" s="163"/>
      <c r="V19" s="163"/>
      <c r="W19" s="163"/>
      <c r="X19" s="163"/>
    </row>
    <row r="20" spans="1:24">
      <c r="A20" s="163"/>
      <c r="B20" s="93">
        <v>10</v>
      </c>
      <c r="C20" s="79">
        <v>1.4499999999999997</v>
      </c>
      <c r="D20" s="189">
        <v>2.8000000000000007</v>
      </c>
      <c r="E20" s="94">
        <v>3.4999999999999996E-2</v>
      </c>
      <c r="F20" s="95">
        <v>5.5195391038289861E-2</v>
      </c>
      <c r="G20" s="96">
        <f t="shared" si="0"/>
        <v>10.85</v>
      </c>
      <c r="H20" s="97">
        <f t="shared" si="1"/>
        <v>17.110571221869858</v>
      </c>
      <c r="I20" s="192"/>
      <c r="J20" s="98">
        <f t="shared" si="2"/>
        <v>102663.42733121914</v>
      </c>
      <c r="K20" s="163"/>
      <c r="L20" s="99">
        <v>5.5195391038289861E-2</v>
      </c>
      <c r="M20" s="97">
        <f t="shared" si="3"/>
        <v>17.110571221869858</v>
      </c>
      <c r="N20" s="163"/>
      <c r="O20" s="80">
        <v>2.8000000000000007</v>
      </c>
      <c r="P20" s="100">
        <f t="shared" si="4"/>
        <v>17.110571221869858</v>
      </c>
      <c r="Q20" s="98">
        <f t="shared" si="5"/>
        <v>102663.42733121914</v>
      </c>
      <c r="R20" s="163"/>
      <c r="S20" s="163"/>
      <c r="T20" s="163"/>
      <c r="U20" s="163"/>
      <c r="V20" s="163"/>
      <c r="W20" s="163"/>
      <c r="X20" s="163"/>
    </row>
    <row r="21" spans="1:24">
      <c r="A21" s="163"/>
      <c r="B21" s="93">
        <v>11</v>
      </c>
      <c r="C21" s="79">
        <v>1.5449999999999997</v>
      </c>
      <c r="D21" s="189">
        <v>2.8800000000000008</v>
      </c>
      <c r="E21" s="94">
        <v>3.85E-2</v>
      </c>
      <c r="F21" s="95">
        <v>5.7001606640567512E-2</v>
      </c>
      <c r="G21" s="96">
        <f t="shared" si="0"/>
        <v>11.935</v>
      </c>
      <c r="H21" s="97">
        <f t="shared" si="1"/>
        <v>17.67049805857593</v>
      </c>
      <c r="I21" s="192"/>
      <c r="J21" s="98">
        <f t="shared" si="2"/>
        <v>106022.98835145558</v>
      </c>
      <c r="K21" s="163"/>
      <c r="L21" s="99">
        <v>5.7001606640567512E-2</v>
      </c>
      <c r="M21" s="97">
        <f t="shared" si="3"/>
        <v>17.67049805857593</v>
      </c>
      <c r="N21" s="163"/>
      <c r="O21" s="80">
        <v>2.8800000000000008</v>
      </c>
      <c r="P21" s="100">
        <f t="shared" si="4"/>
        <v>17.67049805857593</v>
      </c>
      <c r="Q21" s="98">
        <f t="shared" si="5"/>
        <v>106022.98835145558</v>
      </c>
      <c r="R21" s="163"/>
      <c r="S21" s="163"/>
      <c r="T21" s="163"/>
      <c r="U21" s="163"/>
      <c r="V21" s="163"/>
      <c r="W21" s="163"/>
      <c r="X21" s="163"/>
    </row>
    <row r="22" spans="1:24">
      <c r="A22" s="163"/>
      <c r="B22" s="93">
        <v>12</v>
      </c>
      <c r="C22" s="79">
        <v>1.6399999999999997</v>
      </c>
      <c r="D22" s="189">
        <v>2.9600000000000009</v>
      </c>
      <c r="E22" s="94">
        <v>4.1999999999999996E-2</v>
      </c>
      <c r="F22" s="95">
        <v>5.886692889542143E-2</v>
      </c>
      <c r="G22" s="96">
        <f t="shared" si="0"/>
        <v>13.019999999999998</v>
      </c>
      <c r="H22" s="97">
        <f t="shared" si="1"/>
        <v>18.248747957580644</v>
      </c>
      <c r="I22" s="192"/>
      <c r="J22" s="98">
        <f t="shared" si="2"/>
        <v>109492.48774548386</v>
      </c>
      <c r="K22" s="163"/>
      <c r="L22" s="99">
        <v>5.886692889542143E-2</v>
      </c>
      <c r="M22" s="97">
        <f t="shared" si="3"/>
        <v>18.248747957580644</v>
      </c>
      <c r="N22" s="163"/>
      <c r="O22" s="80">
        <v>2.9600000000000009</v>
      </c>
      <c r="P22" s="100">
        <f t="shared" si="4"/>
        <v>18.248747957580644</v>
      </c>
      <c r="Q22" s="98">
        <f t="shared" si="5"/>
        <v>109492.48774548386</v>
      </c>
      <c r="R22" s="163"/>
      <c r="S22" s="163"/>
      <c r="T22" s="163"/>
      <c r="U22" s="163"/>
      <c r="V22" s="163"/>
      <c r="W22" s="163"/>
      <c r="X22" s="163"/>
    </row>
    <row r="23" spans="1:24">
      <c r="A23" s="163"/>
      <c r="B23" s="93">
        <v>13</v>
      </c>
      <c r="C23" s="79">
        <v>1.7349999999999997</v>
      </c>
      <c r="D23" s="189">
        <v>3.0400000000000009</v>
      </c>
      <c r="E23" s="94">
        <v>4.5499999999999999E-2</v>
      </c>
      <c r="F23" s="95">
        <v>6.0793292010691682E-2</v>
      </c>
      <c r="G23" s="96">
        <f t="shared" si="0"/>
        <v>14.105</v>
      </c>
      <c r="H23" s="97">
        <f t="shared" si="1"/>
        <v>18.845920523314422</v>
      </c>
      <c r="I23" s="192"/>
      <c r="J23" s="98">
        <f t="shared" si="2"/>
        <v>113075.52313988654</v>
      </c>
      <c r="K23" s="163"/>
      <c r="L23" s="99">
        <v>6.0793292010691682E-2</v>
      </c>
      <c r="M23" s="97">
        <f t="shared" si="3"/>
        <v>18.845920523314422</v>
      </c>
      <c r="N23" s="163"/>
      <c r="O23" s="80">
        <v>3.0400000000000009</v>
      </c>
      <c r="P23" s="100">
        <f t="shared" si="4"/>
        <v>18.845920523314422</v>
      </c>
      <c r="Q23" s="98">
        <f t="shared" si="5"/>
        <v>113075.52313988654</v>
      </c>
      <c r="R23" s="163"/>
      <c r="S23" s="163"/>
      <c r="T23" s="163"/>
      <c r="U23" s="163"/>
      <c r="V23" s="163"/>
      <c r="W23" s="163"/>
      <c r="X23" s="163"/>
    </row>
    <row r="24" spans="1:24">
      <c r="A24" s="163"/>
      <c r="B24" s="93">
        <v>14</v>
      </c>
      <c r="C24" s="79">
        <v>1.8299999999999996</v>
      </c>
      <c r="D24" s="189">
        <v>3.120000000000001</v>
      </c>
      <c r="E24" s="94">
        <v>4.9000000000000002E-2</v>
      </c>
      <c r="F24" s="95">
        <v>6.2782693489292662E-2</v>
      </c>
      <c r="G24" s="96">
        <f t="shared" si="0"/>
        <v>15.190000000000001</v>
      </c>
      <c r="H24" s="97">
        <f t="shared" si="1"/>
        <v>19.462634981680726</v>
      </c>
      <c r="I24" s="192"/>
      <c r="J24" s="98">
        <f t="shared" si="2"/>
        <v>116775.80989008436</v>
      </c>
      <c r="K24" s="163"/>
      <c r="L24" s="99">
        <v>6.2782693489292662E-2</v>
      </c>
      <c r="M24" s="97">
        <f t="shared" si="3"/>
        <v>19.462634981680726</v>
      </c>
      <c r="N24" s="163"/>
      <c r="O24" s="80">
        <v>3.120000000000001</v>
      </c>
      <c r="P24" s="100">
        <f t="shared" si="4"/>
        <v>19.462634981680726</v>
      </c>
      <c r="Q24" s="98">
        <f t="shared" si="5"/>
        <v>116775.80989008436</v>
      </c>
      <c r="R24" s="163"/>
      <c r="S24" s="163"/>
      <c r="T24" s="163"/>
      <c r="U24" s="163"/>
      <c r="V24" s="163"/>
      <c r="W24" s="163"/>
      <c r="X24" s="163"/>
    </row>
    <row r="25" spans="1:24">
      <c r="A25" s="163"/>
      <c r="B25" s="93">
        <v>15</v>
      </c>
      <c r="C25" s="79">
        <v>1.9249999999999996</v>
      </c>
      <c r="D25" s="189">
        <v>3.2000000000000011</v>
      </c>
      <c r="E25" s="94">
        <v>5.2499999999999998E-2</v>
      </c>
      <c r="F25" s="95">
        <v>6.4837196200482977E-2</v>
      </c>
      <c r="G25" s="96">
        <f t="shared" si="0"/>
        <v>16.274999999999999</v>
      </c>
      <c r="H25" s="97">
        <f t="shared" si="1"/>
        <v>20.099530822149724</v>
      </c>
      <c r="I25" s="192"/>
      <c r="J25" s="98">
        <f t="shared" si="2"/>
        <v>120597.18493289834</v>
      </c>
      <c r="K25" s="163"/>
      <c r="L25" s="99">
        <v>6.4837196200482977E-2</v>
      </c>
      <c r="M25" s="97">
        <f t="shared" si="3"/>
        <v>20.099530822149724</v>
      </c>
      <c r="N25" s="163"/>
      <c r="O25" s="80">
        <v>3.2000000000000011</v>
      </c>
      <c r="P25" s="100">
        <f t="shared" si="4"/>
        <v>20.099530822149724</v>
      </c>
      <c r="Q25" s="98">
        <f t="shared" si="5"/>
        <v>120597.18493289834</v>
      </c>
      <c r="R25" s="163"/>
      <c r="S25" s="163"/>
      <c r="T25" s="163"/>
      <c r="U25" s="163"/>
      <c r="V25" s="163"/>
      <c r="W25" s="163"/>
      <c r="X25" s="163"/>
    </row>
    <row r="26" spans="1:24">
      <c r="A26" s="163"/>
      <c r="B26" s="93">
        <v>16</v>
      </c>
      <c r="C26" s="79">
        <v>2.0199999999999996</v>
      </c>
      <c r="D26" s="189">
        <v>3.2800000000000011</v>
      </c>
      <c r="E26" s="94">
        <v>5.5999999999999994E-2</v>
      </c>
      <c r="F26" s="95">
        <v>6.6958930518915633E-2</v>
      </c>
      <c r="G26" s="96">
        <f t="shared" si="0"/>
        <v>17.36</v>
      </c>
      <c r="H26" s="97">
        <f t="shared" si="1"/>
        <v>20.757268460863845</v>
      </c>
      <c r="I26" s="192"/>
      <c r="J26" s="98">
        <f t="shared" si="2"/>
        <v>124543.61076518308</v>
      </c>
      <c r="K26" s="163"/>
      <c r="L26" s="99">
        <v>6.6958930518915633E-2</v>
      </c>
      <c r="M26" s="97">
        <f t="shared" si="3"/>
        <v>20.757268460863845</v>
      </c>
      <c r="N26" s="163"/>
      <c r="O26" s="80">
        <v>3.2800000000000011</v>
      </c>
      <c r="P26" s="100">
        <f t="shared" si="4"/>
        <v>20.757268460863845</v>
      </c>
      <c r="Q26" s="98">
        <f t="shared" si="5"/>
        <v>124543.61076518308</v>
      </c>
      <c r="R26" s="163"/>
      <c r="S26" s="163"/>
      <c r="T26" s="163"/>
      <c r="U26" s="163"/>
      <c r="V26" s="163"/>
      <c r="W26" s="163"/>
      <c r="X26" s="163"/>
    </row>
    <row r="27" spans="1:24">
      <c r="A27" s="163"/>
      <c r="B27" s="93">
        <v>17</v>
      </c>
      <c r="C27" s="79">
        <v>2.1149999999999998</v>
      </c>
      <c r="D27" s="189">
        <v>3.3600000000000012</v>
      </c>
      <c r="E27" s="94">
        <v>5.9499999999999997E-2</v>
      </c>
      <c r="F27" s="95">
        <v>6.9150096533686534E-2</v>
      </c>
      <c r="G27" s="96">
        <f t="shared" si="0"/>
        <v>18.445</v>
      </c>
      <c r="H27" s="97">
        <f t="shared" si="1"/>
        <v>21.436529925442827</v>
      </c>
      <c r="I27" s="192"/>
      <c r="J27" s="98">
        <f t="shared" si="2"/>
        <v>128619.17955265696</v>
      </c>
      <c r="K27" s="163"/>
      <c r="L27" s="99">
        <v>6.9150096533686534E-2</v>
      </c>
      <c r="M27" s="97">
        <f t="shared" si="3"/>
        <v>21.436529925442827</v>
      </c>
      <c r="N27" s="163"/>
      <c r="O27" s="80">
        <v>3.3600000000000012</v>
      </c>
      <c r="P27" s="100">
        <f t="shared" si="4"/>
        <v>21.436529925442827</v>
      </c>
      <c r="Q27" s="98">
        <f t="shared" si="5"/>
        <v>128619.17955265696</v>
      </c>
      <c r="R27" s="163"/>
      <c r="S27" s="163"/>
      <c r="T27" s="163"/>
      <c r="U27" s="163"/>
      <c r="V27" s="163"/>
      <c r="W27" s="163"/>
      <c r="X27" s="163"/>
    </row>
    <row r="28" spans="1:24">
      <c r="A28" s="163"/>
      <c r="B28" s="93">
        <v>18</v>
      </c>
      <c r="C28" s="79">
        <v>2.21</v>
      </c>
      <c r="D28" s="189">
        <v>3.4400000000000013</v>
      </c>
      <c r="E28" s="94">
        <v>6.3E-2</v>
      </c>
      <c r="F28" s="95">
        <v>7.1412966329671951E-2</v>
      </c>
      <c r="G28" s="96">
        <f t="shared" si="0"/>
        <v>19.53</v>
      </c>
      <c r="H28" s="97">
        <f t="shared" si="1"/>
        <v>22.138019562198306</v>
      </c>
      <c r="I28" s="192"/>
      <c r="J28" s="98">
        <f t="shared" si="2"/>
        <v>132828.11737318983</v>
      </c>
      <c r="K28" s="163"/>
      <c r="L28" s="99">
        <v>7.1412966329671951E-2</v>
      </c>
      <c r="M28" s="97">
        <f t="shared" si="3"/>
        <v>22.138019562198306</v>
      </c>
      <c r="N28" s="163"/>
      <c r="O28" s="80">
        <v>3.4400000000000013</v>
      </c>
      <c r="P28" s="100">
        <f t="shared" si="4"/>
        <v>22.138019562198306</v>
      </c>
      <c r="Q28" s="98">
        <f t="shared" si="5"/>
        <v>132828.11737318983</v>
      </c>
      <c r="R28" s="163"/>
      <c r="S28" s="163"/>
      <c r="T28" s="163"/>
      <c r="U28" s="163"/>
      <c r="V28" s="163"/>
      <c r="W28" s="163"/>
      <c r="X28" s="163"/>
    </row>
    <row r="29" spans="1:24">
      <c r="A29" s="163"/>
      <c r="B29" s="93">
        <v>19</v>
      </c>
      <c r="C29" s="79">
        <v>2.3050000000000002</v>
      </c>
      <c r="D29" s="189">
        <v>3.5200000000000014</v>
      </c>
      <c r="E29" s="94">
        <v>6.649999999999999E-2</v>
      </c>
      <c r="F29" s="95">
        <v>7.3749886343520601E-2</v>
      </c>
      <c r="G29" s="96">
        <f t="shared" si="0"/>
        <v>20.614999999999998</v>
      </c>
      <c r="H29" s="97">
        <f t="shared" si="1"/>
        <v>22.862464766491385</v>
      </c>
      <c r="I29" s="192"/>
      <c r="J29" s="98">
        <f t="shared" si="2"/>
        <v>137174.7885989483</v>
      </c>
      <c r="K29" s="163"/>
      <c r="L29" s="99">
        <v>7.3749886343520601E-2</v>
      </c>
      <c r="M29" s="97">
        <f t="shared" si="3"/>
        <v>22.862464766491385</v>
      </c>
      <c r="N29" s="163"/>
      <c r="O29" s="80">
        <v>3.5200000000000014</v>
      </c>
      <c r="P29" s="100">
        <f t="shared" si="4"/>
        <v>22.862464766491385</v>
      </c>
      <c r="Q29" s="98">
        <f t="shared" si="5"/>
        <v>137174.7885989483</v>
      </c>
      <c r="R29" s="163"/>
      <c r="S29" s="163"/>
      <c r="T29" s="163"/>
      <c r="U29" s="163"/>
      <c r="V29" s="163"/>
      <c r="W29" s="163"/>
      <c r="X29" s="163"/>
    </row>
    <row r="30" spans="1:24">
      <c r="A30" s="163"/>
      <c r="B30" s="93">
        <v>20</v>
      </c>
      <c r="C30" s="79">
        <v>2.4000000000000004</v>
      </c>
      <c r="D30" s="189">
        <v>3.6000000000000014</v>
      </c>
      <c r="E30" s="94">
        <v>6.9999999999999993E-2</v>
      </c>
      <c r="F30" s="95">
        <v>7.6163279796743227E-2</v>
      </c>
      <c r="G30" s="96">
        <f t="shared" si="0"/>
        <v>21.7</v>
      </c>
      <c r="H30" s="97">
        <f t="shared" si="1"/>
        <v>23.610616736990401</v>
      </c>
      <c r="I30" s="192"/>
      <c r="J30" s="98">
        <f t="shared" si="2"/>
        <v>141663.7004219424</v>
      </c>
      <c r="K30" s="163"/>
      <c r="L30" s="99">
        <v>7.6163279796743227E-2</v>
      </c>
      <c r="M30" s="97">
        <f t="shared" si="3"/>
        <v>23.610616736990401</v>
      </c>
      <c r="N30" s="163"/>
      <c r="O30" s="80">
        <v>3.6000000000000014</v>
      </c>
      <c r="P30" s="100">
        <f t="shared" si="4"/>
        <v>23.610616736990401</v>
      </c>
      <c r="Q30" s="98">
        <f t="shared" si="5"/>
        <v>141663.7004219424</v>
      </c>
      <c r="R30" s="163"/>
      <c r="S30" s="163"/>
      <c r="T30" s="163"/>
      <c r="U30" s="163"/>
      <c r="V30" s="163"/>
      <c r="W30" s="163"/>
      <c r="X30" s="163"/>
    </row>
    <row r="31" spans="1:24">
      <c r="A31" s="163"/>
      <c r="B31" s="93">
        <v>21</v>
      </c>
      <c r="C31" s="79">
        <v>2.4950000000000006</v>
      </c>
      <c r="D31" s="189">
        <v>3.6800000000000015</v>
      </c>
      <c r="E31" s="94">
        <v>7.3499999999999996E-2</v>
      </c>
      <c r="F31" s="95">
        <v>7.8655649208422607E-2</v>
      </c>
      <c r="G31" s="96">
        <f t="shared" si="0"/>
        <v>22.785</v>
      </c>
      <c r="H31" s="97">
        <f t="shared" si="1"/>
        <v>24.383251254611007</v>
      </c>
      <c r="I31" s="192"/>
      <c r="J31" s="98">
        <f t="shared" si="2"/>
        <v>146299.50752766605</v>
      </c>
      <c r="K31" s="163"/>
      <c r="L31" s="99">
        <v>7.8655649208422607E-2</v>
      </c>
      <c r="M31" s="97">
        <f t="shared" si="3"/>
        <v>24.383251254611007</v>
      </c>
      <c r="N31" s="163"/>
      <c r="O31" s="80">
        <v>3.6800000000000015</v>
      </c>
      <c r="P31" s="100">
        <f t="shared" si="4"/>
        <v>24.383251254611007</v>
      </c>
      <c r="Q31" s="98">
        <f t="shared" si="5"/>
        <v>146299.50752766605</v>
      </c>
      <c r="R31" s="163"/>
      <c r="S31" s="163"/>
      <c r="T31" s="163"/>
      <c r="U31" s="163"/>
      <c r="V31" s="163"/>
      <c r="W31" s="163"/>
      <c r="X31" s="163"/>
    </row>
    <row r="32" spans="1:24">
      <c r="A32" s="163"/>
      <c r="B32" s="93">
        <v>22</v>
      </c>
      <c r="C32" s="79">
        <v>2.5900000000000007</v>
      </c>
      <c r="D32" s="189">
        <v>3.7600000000000016</v>
      </c>
      <c r="E32" s="94">
        <v>7.6999999999999999E-2</v>
      </c>
      <c r="F32" s="95">
        <v>8.1229578990149764E-2</v>
      </c>
      <c r="G32" s="96">
        <f t="shared" si="0"/>
        <v>23.87</v>
      </c>
      <c r="H32" s="97">
        <f t="shared" si="1"/>
        <v>25.181169486946427</v>
      </c>
      <c r="I32" s="192"/>
      <c r="J32" s="98">
        <f t="shared" si="2"/>
        <v>151087.01692167856</v>
      </c>
      <c r="K32" s="163"/>
      <c r="L32" s="99">
        <v>8.1229578990149764E-2</v>
      </c>
      <c r="M32" s="97">
        <f t="shared" si="3"/>
        <v>25.181169486946427</v>
      </c>
      <c r="N32" s="163"/>
      <c r="O32" s="80">
        <v>3.7600000000000016</v>
      </c>
      <c r="P32" s="100">
        <f t="shared" si="4"/>
        <v>25.181169486946427</v>
      </c>
      <c r="Q32" s="98">
        <f t="shared" si="5"/>
        <v>151087.01692167856</v>
      </c>
      <c r="R32" s="163"/>
      <c r="S32" s="163"/>
      <c r="T32" s="163"/>
      <c r="U32" s="163"/>
      <c r="V32" s="163"/>
      <c r="W32" s="163"/>
      <c r="X32" s="163"/>
    </row>
    <row r="33" spans="1:24">
      <c r="A33" s="163"/>
      <c r="B33" s="93">
        <v>23</v>
      </c>
      <c r="C33" s="79">
        <v>2.6850000000000009</v>
      </c>
      <c r="D33" s="189">
        <v>3.8400000000000016</v>
      </c>
      <c r="E33" s="94">
        <v>8.0500000000000002E-2</v>
      </c>
      <c r="F33" s="95">
        <v>8.3887738125876757E-2</v>
      </c>
      <c r="G33" s="96">
        <f t="shared" si="0"/>
        <v>24.955000000000002</v>
      </c>
      <c r="H33" s="97">
        <f t="shared" si="1"/>
        <v>26.005198819021796</v>
      </c>
      <c r="I33" s="192"/>
      <c r="J33" s="98">
        <f t="shared" si="2"/>
        <v>156031.19291413078</v>
      </c>
      <c r="K33" s="163"/>
      <c r="L33" s="99">
        <v>8.3887738125876757E-2</v>
      </c>
      <c r="M33" s="97">
        <f t="shared" si="3"/>
        <v>26.005198819021796</v>
      </c>
      <c r="N33" s="163"/>
      <c r="O33" s="80">
        <v>3.8400000000000016</v>
      </c>
      <c r="P33" s="100">
        <f t="shared" si="4"/>
        <v>26.005198819021796</v>
      </c>
      <c r="Q33" s="98">
        <f t="shared" si="5"/>
        <v>156031.19291413078</v>
      </c>
      <c r="R33" s="163"/>
      <c r="S33" s="163"/>
      <c r="T33" s="163"/>
      <c r="U33" s="163"/>
      <c r="V33" s="163"/>
      <c r="W33" s="163"/>
      <c r="X33" s="163"/>
    </row>
    <row r="34" spans="1:24">
      <c r="A34" s="163"/>
      <c r="B34" s="93">
        <v>24</v>
      </c>
      <c r="C34" s="79">
        <v>2.7800000000000011</v>
      </c>
      <c r="D34" s="189">
        <v>3.9200000000000017</v>
      </c>
      <c r="E34" s="94">
        <v>8.3999999999999991E-2</v>
      </c>
      <c r="F34" s="95">
        <v>8.6632882939465083E-2</v>
      </c>
      <c r="G34" s="96">
        <f t="shared" si="0"/>
        <v>26.039999999999996</v>
      </c>
      <c r="H34" s="97">
        <f t="shared" si="1"/>
        <v>26.856193711234177</v>
      </c>
      <c r="I34" s="192"/>
      <c r="J34" s="98">
        <f t="shared" si="2"/>
        <v>161137.16226740507</v>
      </c>
      <c r="K34" s="163"/>
      <c r="L34" s="99">
        <v>8.6632882939465083E-2</v>
      </c>
      <c r="M34" s="97">
        <f t="shared" si="3"/>
        <v>26.856193711234177</v>
      </c>
      <c r="N34" s="163"/>
      <c r="O34" s="80">
        <v>3.9200000000000017</v>
      </c>
      <c r="P34" s="100">
        <f t="shared" si="4"/>
        <v>26.856193711234177</v>
      </c>
      <c r="Q34" s="98">
        <f t="shared" si="5"/>
        <v>161137.16226740507</v>
      </c>
      <c r="R34" s="163"/>
      <c r="S34" s="163"/>
      <c r="T34" s="163"/>
      <c r="U34" s="163"/>
      <c r="V34" s="163"/>
      <c r="W34" s="163"/>
      <c r="X34" s="163"/>
    </row>
    <row r="35" spans="1:24">
      <c r="A35" s="163"/>
      <c r="B35" s="93">
        <v>25</v>
      </c>
      <c r="C35" s="79">
        <v>2.8750000000000013</v>
      </c>
      <c r="D35" s="189">
        <v>4.0000000000000018</v>
      </c>
      <c r="E35" s="94">
        <v>8.7499999999999994E-2</v>
      </c>
      <c r="F35" s="95">
        <v>8.9467859952799475E-2</v>
      </c>
      <c r="G35" s="96">
        <f t="shared" si="0"/>
        <v>27.125</v>
      </c>
      <c r="H35" s="97">
        <f t="shared" si="1"/>
        <v>27.735036585367837</v>
      </c>
      <c r="I35" s="192"/>
      <c r="J35" s="98">
        <f t="shared" si="2"/>
        <v>166410.21951220703</v>
      </c>
      <c r="K35" s="163"/>
      <c r="L35" s="99">
        <v>8.9467859952799475E-2</v>
      </c>
      <c r="M35" s="97">
        <f t="shared" si="3"/>
        <v>27.735036585367837</v>
      </c>
      <c r="N35" s="163"/>
      <c r="O35" s="80">
        <v>4.0000000000000018</v>
      </c>
      <c r="P35" s="100">
        <f t="shared" si="4"/>
        <v>27.735036585367837</v>
      </c>
      <c r="Q35" s="98">
        <f t="shared" si="5"/>
        <v>166410.21951220703</v>
      </c>
      <c r="R35" s="163"/>
      <c r="S35" s="163"/>
      <c r="T35" s="163"/>
      <c r="U35" s="163"/>
      <c r="V35" s="163"/>
      <c r="W35" s="163"/>
      <c r="X35" s="163"/>
    </row>
    <row r="36" spans="1:24">
      <c r="A36" s="163"/>
      <c r="B36" s="93">
        <v>26</v>
      </c>
      <c r="C36" s="79">
        <v>2.9700000000000015</v>
      </c>
      <c r="D36" s="189">
        <v>4.0800000000000018</v>
      </c>
      <c r="E36" s="94">
        <v>9.0999999999999998E-2</v>
      </c>
      <c r="F36" s="95">
        <v>9.2395608837430726E-2</v>
      </c>
      <c r="G36" s="96">
        <f t="shared" si="0"/>
        <v>28.21</v>
      </c>
      <c r="H36" s="97">
        <f t="shared" si="1"/>
        <v>28.642638739603527</v>
      </c>
      <c r="I36" s="192"/>
      <c r="J36" s="98">
        <f t="shared" si="2"/>
        <v>171855.83243762117</v>
      </c>
      <c r="K36" s="163"/>
      <c r="L36" s="99">
        <v>9.2395608837430726E-2</v>
      </c>
      <c r="M36" s="97">
        <f t="shared" si="3"/>
        <v>28.642638739603527</v>
      </c>
      <c r="N36" s="163"/>
      <c r="O36" s="80">
        <v>4.0800000000000018</v>
      </c>
      <c r="P36" s="100">
        <f t="shared" si="4"/>
        <v>28.642638739603527</v>
      </c>
      <c r="Q36" s="98">
        <f t="shared" si="5"/>
        <v>171855.83243762117</v>
      </c>
      <c r="R36" s="163"/>
      <c r="S36" s="163"/>
      <c r="T36" s="163"/>
      <c r="U36" s="163"/>
      <c r="V36" s="163"/>
      <c r="W36" s="163"/>
      <c r="X36" s="163"/>
    </row>
    <row r="37" spans="1:24">
      <c r="A37" s="163"/>
      <c r="B37" s="93">
        <v>27</v>
      </c>
      <c r="C37" s="79">
        <v>3.0650000000000017</v>
      </c>
      <c r="D37" s="189">
        <v>4.1600000000000019</v>
      </c>
      <c r="E37" s="94">
        <v>9.4500000000000001E-2</v>
      </c>
      <c r="F37" s="95">
        <v>9.5419165462808014E-2</v>
      </c>
      <c r="G37" s="96">
        <f t="shared" si="0"/>
        <v>29.295000000000002</v>
      </c>
      <c r="H37" s="97">
        <f t="shared" si="1"/>
        <v>29.579941293470483</v>
      </c>
      <c r="I37" s="192"/>
      <c r="J37" s="98">
        <f t="shared" si="2"/>
        <v>177479.6477608229</v>
      </c>
      <c r="K37" s="163"/>
      <c r="L37" s="99">
        <v>9.5419165462808014E-2</v>
      </c>
      <c r="M37" s="97">
        <f t="shared" si="3"/>
        <v>29.579941293470483</v>
      </c>
      <c r="N37" s="163"/>
      <c r="O37" s="80">
        <v>4.1600000000000019</v>
      </c>
      <c r="P37" s="100">
        <f t="shared" si="4"/>
        <v>29.579941293470483</v>
      </c>
      <c r="Q37" s="98">
        <f t="shared" si="5"/>
        <v>177479.6477608229</v>
      </c>
      <c r="R37" s="163"/>
      <c r="S37" s="163"/>
      <c r="T37" s="163"/>
      <c r="U37" s="163"/>
      <c r="V37" s="163"/>
      <c r="W37" s="163"/>
      <c r="X37" s="163"/>
    </row>
    <row r="38" spans="1:24">
      <c r="A38" s="163"/>
      <c r="B38" s="93">
        <v>28</v>
      </c>
      <c r="C38" s="79">
        <v>3.1600000000000019</v>
      </c>
      <c r="D38" s="189">
        <v>4.240000000000002</v>
      </c>
      <c r="E38" s="94">
        <v>9.8000000000000004E-2</v>
      </c>
      <c r="F38" s="95">
        <v>9.8541665044261789E-2</v>
      </c>
      <c r="G38" s="96">
        <f t="shared" si="0"/>
        <v>30.380000000000003</v>
      </c>
      <c r="H38" s="97">
        <f t="shared" si="1"/>
        <v>30.547916163721155</v>
      </c>
      <c r="I38" s="192"/>
      <c r="J38" s="98">
        <f t="shared" si="2"/>
        <v>183287.49698232693</v>
      </c>
      <c r="K38" s="163"/>
      <c r="L38" s="99">
        <v>9.8541665044261789E-2</v>
      </c>
      <c r="M38" s="97">
        <f t="shared" si="3"/>
        <v>30.547916163721155</v>
      </c>
      <c r="N38" s="163"/>
      <c r="O38" s="80">
        <v>4.240000000000002</v>
      </c>
      <c r="P38" s="100">
        <f t="shared" si="4"/>
        <v>30.547916163721155</v>
      </c>
      <c r="Q38" s="98">
        <f t="shared" si="5"/>
        <v>183287.49698232693</v>
      </c>
      <c r="R38" s="163"/>
      <c r="S38" s="163"/>
      <c r="T38" s="163"/>
      <c r="U38" s="163"/>
      <c r="V38" s="163"/>
      <c r="W38" s="163"/>
      <c r="X38" s="163"/>
    </row>
    <row r="39" spans="1:24">
      <c r="A39" s="163"/>
      <c r="B39" s="73">
        <v>29</v>
      </c>
      <c r="C39" s="79">
        <v>3.2550000000000021</v>
      </c>
      <c r="D39" s="189">
        <v>4.3200000000000021</v>
      </c>
      <c r="E39" s="94">
        <v>0.10149999999999999</v>
      </c>
      <c r="F39" s="95">
        <v>0.10176634539400131</v>
      </c>
      <c r="G39" s="96">
        <f t="shared" si="0"/>
        <v>31.464999999999996</v>
      </c>
      <c r="H39" s="97">
        <f t="shared" si="1"/>
        <v>31.547567072140406</v>
      </c>
      <c r="I39" s="192"/>
      <c r="J39" s="98">
        <f t="shared" si="2"/>
        <v>189285.40243284244</v>
      </c>
      <c r="K39" s="163"/>
      <c r="L39" s="99">
        <v>0.10176634539400131</v>
      </c>
      <c r="M39" s="97">
        <f t="shared" si="3"/>
        <v>31.547567072140406</v>
      </c>
      <c r="N39" s="163"/>
      <c r="O39" s="80">
        <v>4.3200000000000021</v>
      </c>
      <c r="P39" s="100">
        <f t="shared" si="4"/>
        <v>31.547567072140406</v>
      </c>
      <c r="Q39" s="98">
        <f t="shared" si="5"/>
        <v>189285.40243284244</v>
      </c>
      <c r="R39" s="163"/>
      <c r="S39" s="163"/>
      <c r="T39" s="163"/>
      <c r="U39" s="163"/>
      <c r="V39" s="163"/>
      <c r="W39" s="163"/>
      <c r="X39" s="163"/>
    </row>
    <row r="40" spans="1:24">
      <c r="A40" s="163"/>
      <c r="B40" s="93">
        <v>30</v>
      </c>
      <c r="C40" s="79">
        <v>3.3500000000000023</v>
      </c>
      <c r="D40" s="189">
        <v>4.4000000000000021</v>
      </c>
      <c r="E40" s="94">
        <v>0.105</v>
      </c>
      <c r="F40" s="95">
        <v>0.10509655027849808</v>
      </c>
      <c r="G40" s="96">
        <f t="shared" si="0"/>
        <v>32.549999999999997</v>
      </c>
      <c r="H40" s="97">
        <f t="shared" si="1"/>
        <v>32.579930586334406</v>
      </c>
      <c r="I40" s="192"/>
      <c r="J40" s="98">
        <f t="shared" si="2"/>
        <v>195479.58351800646</v>
      </c>
      <c r="K40" s="163"/>
      <c r="L40" s="99">
        <v>0.10509655027849808</v>
      </c>
      <c r="M40" s="97">
        <f t="shared" si="3"/>
        <v>32.579930586334406</v>
      </c>
      <c r="N40" s="163"/>
      <c r="O40" s="80">
        <v>4.4000000000000021</v>
      </c>
      <c r="P40" s="100">
        <f t="shared" si="4"/>
        <v>32.579930586334406</v>
      </c>
      <c r="Q40" s="98">
        <f t="shared" si="5"/>
        <v>195479.58351800646</v>
      </c>
      <c r="R40" s="163"/>
      <c r="S40" s="163"/>
      <c r="T40" s="163"/>
      <c r="U40" s="163"/>
      <c r="V40" s="163"/>
      <c r="W40" s="163"/>
      <c r="X40" s="163"/>
    </row>
    <row r="41" spans="1:24">
      <c r="A41" s="163"/>
      <c r="B41" s="93">
        <v>31</v>
      </c>
      <c r="C41" s="79">
        <v>3.4450000000000025</v>
      </c>
      <c r="D41" s="189">
        <v>4.4800000000000022</v>
      </c>
      <c r="E41" s="94">
        <v>0.1085</v>
      </c>
      <c r="F41" s="95">
        <v>0.10853573288573599</v>
      </c>
      <c r="G41" s="96">
        <f t="shared" si="0"/>
        <v>33.634999999999998</v>
      </c>
      <c r="H41" s="97">
        <f t="shared" si="1"/>
        <v>33.646077194578162</v>
      </c>
      <c r="I41" s="192"/>
      <c r="J41" s="98">
        <f t="shared" si="2"/>
        <v>201876.46316746896</v>
      </c>
      <c r="K41" s="163"/>
      <c r="L41" s="99">
        <v>0.10853573288573599</v>
      </c>
      <c r="M41" s="97">
        <f t="shared" si="3"/>
        <v>33.646077194578162</v>
      </c>
      <c r="N41" s="163"/>
      <c r="O41" s="80">
        <v>4.4800000000000022</v>
      </c>
      <c r="P41" s="100">
        <f t="shared" si="4"/>
        <v>33.646077194578162</v>
      </c>
      <c r="Q41" s="98">
        <f t="shared" si="5"/>
        <v>201876.46316746896</v>
      </c>
      <c r="R41" s="163"/>
      <c r="S41" s="163"/>
      <c r="T41" s="163"/>
      <c r="U41" s="163"/>
      <c r="V41" s="163"/>
      <c r="W41" s="163"/>
      <c r="X41" s="163"/>
    </row>
    <row r="42" spans="1:24">
      <c r="A42" s="163"/>
      <c r="B42" s="93">
        <v>32</v>
      </c>
      <c r="C42" s="79">
        <v>3.5400000000000027</v>
      </c>
      <c r="D42" s="189">
        <v>4.5600000000000023</v>
      </c>
      <c r="E42" s="94">
        <v>0.11199999999999999</v>
      </c>
      <c r="F42" s="95">
        <v>0.11208745940592425</v>
      </c>
      <c r="G42" s="96">
        <f t="shared" si="0"/>
        <v>34.72</v>
      </c>
      <c r="H42" s="97">
        <f t="shared" si="1"/>
        <v>34.747112415836519</v>
      </c>
      <c r="I42" s="192"/>
      <c r="J42" s="98">
        <f t="shared" si="2"/>
        <v>208482.67449501914</v>
      </c>
      <c r="K42" s="163"/>
      <c r="L42" s="99">
        <v>0.11208745940592425</v>
      </c>
      <c r="M42" s="97">
        <f t="shared" si="3"/>
        <v>34.747112415836519</v>
      </c>
      <c r="N42" s="163"/>
      <c r="O42" s="80">
        <v>4.5600000000000023</v>
      </c>
      <c r="P42" s="100">
        <f t="shared" si="4"/>
        <v>34.747112415836519</v>
      </c>
      <c r="Q42" s="98">
        <f t="shared" si="5"/>
        <v>208482.67449501914</v>
      </c>
      <c r="R42" s="163"/>
      <c r="S42" s="163"/>
      <c r="T42" s="163"/>
      <c r="U42" s="163"/>
      <c r="V42" s="163"/>
      <c r="W42" s="163"/>
      <c r="X42" s="163"/>
    </row>
    <row r="43" spans="1:24">
      <c r="A43" s="163"/>
      <c r="B43" s="93">
        <v>33</v>
      </c>
      <c r="C43" s="79">
        <v>3.6350000000000029</v>
      </c>
      <c r="D43" s="189">
        <v>4.6400000000000023</v>
      </c>
      <c r="E43" s="94">
        <v>0.11549999999999999</v>
      </c>
      <c r="F43" s="95">
        <v>0.11575541272938564</v>
      </c>
      <c r="G43" s="96">
        <f t="shared" si="0"/>
        <v>35.805</v>
      </c>
      <c r="H43" s="97">
        <f t="shared" si="1"/>
        <v>35.884177946109546</v>
      </c>
      <c r="I43" s="192"/>
      <c r="J43" s="98">
        <f t="shared" si="2"/>
        <v>215305.06767665729</v>
      </c>
      <c r="K43" s="163"/>
      <c r="L43" s="99">
        <v>0.11575541272938564</v>
      </c>
      <c r="M43" s="97">
        <f t="shared" si="3"/>
        <v>35.884177946109546</v>
      </c>
      <c r="N43" s="163"/>
      <c r="O43" s="80">
        <v>4.6400000000000023</v>
      </c>
      <c r="P43" s="100">
        <f t="shared" si="4"/>
        <v>35.884177946109546</v>
      </c>
      <c r="Q43" s="98">
        <f t="shared" si="5"/>
        <v>215305.06767665729</v>
      </c>
      <c r="R43" s="163"/>
      <c r="S43" s="163"/>
      <c r="T43" s="163"/>
      <c r="U43" s="163"/>
      <c r="V43" s="163"/>
      <c r="W43" s="163"/>
      <c r="X43" s="163"/>
    </row>
    <row r="44" spans="1:24">
      <c r="A44" s="163"/>
      <c r="B44" s="93">
        <v>34</v>
      </c>
      <c r="C44" s="79">
        <v>3.7300000000000031</v>
      </c>
      <c r="D44" s="189">
        <v>4.7200000000000024</v>
      </c>
      <c r="E44" s="94">
        <v>0.11899999999999999</v>
      </c>
      <c r="F44" s="95">
        <v>0.11954339626545415</v>
      </c>
      <c r="G44" s="96">
        <f t="shared" si="0"/>
        <v>36.89</v>
      </c>
      <c r="H44" s="97">
        <f t="shared" si="1"/>
        <v>37.058452842290791</v>
      </c>
      <c r="I44" s="192"/>
      <c r="J44" s="98">
        <f t="shared" si="2"/>
        <v>222350.71705374474</v>
      </c>
      <c r="K44" s="163"/>
      <c r="L44" s="99">
        <v>0.11954339626545415</v>
      </c>
      <c r="M44" s="97">
        <f t="shared" si="3"/>
        <v>37.058452842290791</v>
      </c>
      <c r="N44" s="163"/>
      <c r="O44" s="80">
        <v>4.7200000000000024</v>
      </c>
      <c r="P44" s="100">
        <f t="shared" si="4"/>
        <v>37.058452842290791</v>
      </c>
      <c r="Q44" s="98">
        <f t="shared" si="5"/>
        <v>222350.71705374474</v>
      </c>
      <c r="R44" s="163"/>
      <c r="S44" s="163"/>
      <c r="T44" s="163"/>
      <c r="U44" s="163"/>
      <c r="V44" s="163"/>
      <c r="W44" s="163"/>
      <c r="X44" s="163"/>
    </row>
    <row r="45" spans="1:24">
      <c r="A45" s="163"/>
      <c r="B45" s="93">
        <v>35</v>
      </c>
      <c r="C45" s="79">
        <v>3.8250000000000033</v>
      </c>
      <c r="D45" s="189">
        <v>4.8000000000000025</v>
      </c>
      <c r="E45" s="94">
        <v>0.12249999999999998</v>
      </c>
      <c r="F45" s="95">
        <v>0.12345533788634301</v>
      </c>
      <c r="G45" s="96">
        <f t="shared" si="0"/>
        <v>37.974999999999994</v>
      </c>
      <c r="H45" s="97">
        <f t="shared" si="1"/>
        <v>38.271154744766335</v>
      </c>
      <c r="I45" s="192"/>
      <c r="J45" s="98">
        <f t="shared" si="2"/>
        <v>229626.92846859802</v>
      </c>
      <c r="K45" s="163"/>
      <c r="L45" s="99">
        <v>0.12345533788634301</v>
      </c>
      <c r="M45" s="97">
        <f t="shared" si="3"/>
        <v>38.271154744766335</v>
      </c>
      <c r="N45" s="163"/>
      <c r="O45" s="80">
        <v>4.8000000000000025</v>
      </c>
      <c r="P45" s="100">
        <f t="shared" si="4"/>
        <v>38.271154744766335</v>
      </c>
      <c r="Q45" s="98">
        <f t="shared" si="5"/>
        <v>229626.92846859802</v>
      </c>
      <c r="R45" s="163"/>
      <c r="S45" s="163"/>
      <c r="T45" s="163"/>
      <c r="U45" s="163"/>
      <c r="V45" s="163"/>
      <c r="W45" s="163"/>
      <c r="X45" s="163"/>
    </row>
    <row r="46" spans="1:24">
      <c r="A46" s="163"/>
      <c r="B46" s="93">
        <v>36</v>
      </c>
      <c r="C46" s="79">
        <v>3.9200000000000035</v>
      </c>
      <c r="D46" s="189">
        <v>4.8800000000000026</v>
      </c>
      <c r="E46" s="94">
        <v>0.126</v>
      </c>
      <c r="F46" s="95">
        <v>0.12749529400007148</v>
      </c>
      <c r="G46" s="96">
        <f t="shared" ref="G46:G77" si="6">IF(E46&lt;2.5%,0,$G$8*E46)</f>
        <v>39.06</v>
      </c>
      <c r="H46" s="97">
        <f t="shared" ref="H46:H77" si="7">IF(F46&lt;5%,0,$H$8*F46)</f>
        <v>39.523541140022161</v>
      </c>
      <c r="I46" s="192"/>
      <c r="J46" s="98">
        <f t="shared" ref="J46:J77" si="8">SUM(H46*$I$8)*500</f>
        <v>237141.24684013295</v>
      </c>
      <c r="K46" s="163"/>
      <c r="L46" s="99">
        <v>0.12749529400007148</v>
      </c>
      <c r="M46" s="97">
        <f t="shared" ref="M46:M77" si="9">H46</f>
        <v>39.523541140022161</v>
      </c>
      <c r="N46" s="163"/>
      <c r="O46" s="80">
        <v>4.8800000000000026</v>
      </c>
      <c r="P46" s="100">
        <f t="shared" ref="P46:P77" si="10">H46</f>
        <v>39.523541140022161</v>
      </c>
      <c r="Q46" s="98">
        <f t="shared" ref="Q46:Q77" si="11">SUM(H46*$I$8)*500</f>
        <v>237141.24684013295</v>
      </c>
      <c r="R46" s="163"/>
      <c r="S46" s="163"/>
      <c r="T46" s="163"/>
      <c r="U46" s="163"/>
      <c r="V46" s="163"/>
      <c r="W46" s="163"/>
      <c r="X46" s="163"/>
    </row>
    <row r="47" spans="1:24">
      <c r="A47" s="163"/>
      <c r="B47" s="93">
        <v>37</v>
      </c>
      <c r="C47" s="79">
        <v>4.0150000000000032</v>
      </c>
      <c r="D47" s="189">
        <v>4.9600000000000026</v>
      </c>
      <c r="E47" s="94">
        <v>0.1295</v>
      </c>
      <c r="F47" s="95">
        <v>0.13166745375667424</v>
      </c>
      <c r="G47" s="96">
        <f t="shared" si="6"/>
        <v>40.145000000000003</v>
      </c>
      <c r="H47" s="97">
        <f t="shared" si="7"/>
        <v>40.816910664569015</v>
      </c>
      <c r="I47" s="192"/>
      <c r="J47" s="98">
        <f t="shared" si="8"/>
        <v>244901.46398741411</v>
      </c>
      <c r="K47" s="163"/>
      <c r="L47" s="99">
        <v>0.13166745375667424</v>
      </c>
      <c r="M47" s="97">
        <f t="shared" si="9"/>
        <v>40.816910664569015</v>
      </c>
      <c r="N47" s="163"/>
      <c r="O47" s="80">
        <v>4.9600000000000026</v>
      </c>
      <c r="P47" s="100">
        <f t="shared" si="10"/>
        <v>40.816910664569015</v>
      </c>
      <c r="Q47" s="98">
        <f t="shared" si="11"/>
        <v>244901.46398741411</v>
      </c>
      <c r="R47" s="163"/>
      <c r="S47" s="163"/>
      <c r="T47" s="163"/>
      <c r="U47" s="163"/>
      <c r="V47" s="163"/>
      <c r="W47" s="163"/>
      <c r="X47" s="163"/>
    </row>
    <row r="48" spans="1:24">
      <c r="A48" s="163"/>
      <c r="B48" s="93">
        <v>38</v>
      </c>
      <c r="C48" s="79">
        <v>4.110000000000003</v>
      </c>
      <c r="D48" s="189">
        <v>5.0400000000000027</v>
      </c>
      <c r="E48" s="94">
        <v>0.13299999999999998</v>
      </c>
      <c r="F48" s="95">
        <v>0.13597614339205519</v>
      </c>
      <c r="G48" s="96">
        <f t="shared" si="6"/>
        <v>41.23</v>
      </c>
      <c r="H48" s="97">
        <f t="shared" si="7"/>
        <v>42.152604451537108</v>
      </c>
      <c r="I48" s="192"/>
      <c r="J48" s="98">
        <f t="shared" si="8"/>
        <v>252915.62670922265</v>
      </c>
      <c r="K48" s="163"/>
      <c r="L48" s="99">
        <v>0.13597614339205519</v>
      </c>
      <c r="M48" s="97">
        <f t="shared" si="9"/>
        <v>42.152604451537108</v>
      </c>
      <c r="N48" s="163"/>
      <c r="O48" s="80">
        <v>5.0400000000000027</v>
      </c>
      <c r="P48" s="100">
        <f t="shared" si="10"/>
        <v>42.152604451537108</v>
      </c>
      <c r="Q48" s="98">
        <f t="shared" si="11"/>
        <v>252915.62670922265</v>
      </c>
      <c r="R48" s="163"/>
      <c r="S48" s="163"/>
      <c r="T48" s="163"/>
      <c r="U48" s="163"/>
      <c r="V48" s="163"/>
      <c r="W48" s="163"/>
      <c r="X48" s="163"/>
    </row>
    <row r="49" spans="1:24">
      <c r="A49" s="163"/>
      <c r="B49" s="93">
        <v>39</v>
      </c>
      <c r="C49" s="79">
        <v>4.2050000000000027</v>
      </c>
      <c r="D49" s="189">
        <v>5.1200000000000028</v>
      </c>
      <c r="E49" s="94">
        <v>0.13649999999999998</v>
      </c>
      <c r="F49" s="95">
        <v>0.14042583071398929</v>
      </c>
      <c r="G49" s="96">
        <f t="shared" si="6"/>
        <v>42.314999999999998</v>
      </c>
      <c r="H49" s="97">
        <f t="shared" si="7"/>
        <v>43.532007521336681</v>
      </c>
      <c r="I49" s="192"/>
      <c r="J49" s="98">
        <f t="shared" si="8"/>
        <v>261192.04512802008</v>
      </c>
      <c r="K49" s="163"/>
      <c r="L49" s="99">
        <v>0.14042583071398929</v>
      </c>
      <c r="M49" s="97">
        <f t="shared" si="9"/>
        <v>43.532007521336681</v>
      </c>
      <c r="N49" s="163"/>
      <c r="O49" s="80">
        <v>5.1200000000000028</v>
      </c>
      <c r="P49" s="100">
        <f t="shared" si="10"/>
        <v>43.532007521336681</v>
      </c>
      <c r="Q49" s="98">
        <f t="shared" si="11"/>
        <v>261192.04512802008</v>
      </c>
      <c r="R49" s="163"/>
      <c r="S49" s="163"/>
      <c r="T49" s="163"/>
      <c r="U49" s="163"/>
      <c r="V49" s="163"/>
      <c r="W49" s="163"/>
      <c r="X49" s="163"/>
    </row>
    <row r="50" spans="1:24">
      <c r="A50" s="163"/>
      <c r="B50" s="93">
        <v>40</v>
      </c>
      <c r="C50" s="79">
        <v>4.3000000000000025</v>
      </c>
      <c r="D50" s="189">
        <v>5.2000000000000028</v>
      </c>
      <c r="E50" s="94">
        <v>0.13999999999999999</v>
      </c>
      <c r="F50" s="95">
        <v>0.14502112973492484</v>
      </c>
      <c r="G50" s="96">
        <f t="shared" si="6"/>
        <v>43.4</v>
      </c>
      <c r="H50" s="97">
        <f t="shared" si="7"/>
        <v>44.956550217826702</v>
      </c>
      <c r="I50" s="192"/>
      <c r="J50" s="98">
        <f t="shared" si="8"/>
        <v>269739.30130696023</v>
      </c>
      <c r="K50" s="163"/>
      <c r="L50" s="99">
        <v>0.14502112973492484</v>
      </c>
      <c r="M50" s="97">
        <f t="shared" si="9"/>
        <v>44.956550217826702</v>
      </c>
      <c r="N50" s="163"/>
      <c r="O50" s="80">
        <v>5.2000000000000028</v>
      </c>
      <c r="P50" s="100">
        <f t="shared" si="10"/>
        <v>44.956550217826702</v>
      </c>
      <c r="Q50" s="98">
        <f t="shared" si="11"/>
        <v>269739.30130696023</v>
      </c>
      <c r="R50" s="163"/>
      <c r="S50" s="163"/>
      <c r="T50" s="163"/>
      <c r="U50" s="163"/>
      <c r="V50" s="163"/>
      <c r="W50" s="163"/>
      <c r="X50" s="163"/>
    </row>
    <row r="51" spans="1:24">
      <c r="A51" s="163"/>
      <c r="B51" s="93">
        <v>41</v>
      </c>
      <c r="C51" s="79">
        <v>4.3950000000000022</v>
      </c>
      <c r="D51" s="189">
        <v>5.2800000000000029</v>
      </c>
      <c r="E51" s="94">
        <v>0.14349999999999999</v>
      </c>
      <c r="F51" s="95">
        <v>0.14976680545638935</v>
      </c>
      <c r="G51" s="96">
        <f t="shared" si="6"/>
        <v>44.484999999999999</v>
      </c>
      <c r="H51" s="97">
        <f t="shared" si="7"/>
        <v>46.4277096914807</v>
      </c>
      <c r="I51" s="192"/>
      <c r="J51" s="98">
        <f t="shared" si="8"/>
        <v>278566.25814888423</v>
      </c>
      <c r="K51" s="163"/>
      <c r="L51" s="99">
        <v>0.14976680545638935</v>
      </c>
      <c r="M51" s="97">
        <f t="shared" si="9"/>
        <v>46.4277096914807</v>
      </c>
      <c r="N51" s="163"/>
      <c r="O51" s="80">
        <v>5.2800000000000029</v>
      </c>
      <c r="P51" s="100">
        <f t="shared" si="10"/>
        <v>46.4277096914807</v>
      </c>
      <c r="Q51" s="98">
        <f t="shared" si="11"/>
        <v>278566.25814888423</v>
      </c>
      <c r="R51" s="163"/>
      <c r="S51" s="163"/>
      <c r="T51" s="163"/>
      <c r="U51" s="163"/>
      <c r="V51" s="163"/>
      <c r="W51" s="163"/>
      <c r="X51" s="163"/>
    </row>
    <row r="52" spans="1:24">
      <c r="A52" s="163"/>
      <c r="B52" s="93">
        <v>42</v>
      </c>
      <c r="C52" s="79">
        <v>4.490000000000002</v>
      </c>
      <c r="D52" s="189">
        <v>5.360000000000003</v>
      </c>
      <c r="E52" s="94">
        <v>0.14699999999999999</v>
      </c>
      <c r="F52" s="95">
        <v>0.15466777880996077</v>
      </c>
      <c r="G52" s="96">
        <f t="shared" si="6"/>
        <v>45.57</v>
      </c>
      <c r="H52" s="97">
        <f t="shared" si="7"/>
        <v>47.947011431087837</v>
      </c>
      <c r="I52" s="192"/>
      <c r="J52" s="98">
        <f t="shared" si="8"/>
        <v>287682.06858652702</v>
      </c>
      <c r="K52" s="163"/>
      <c r="L52" s="99">
        <v>0.15466777880996077</v>
      </c>
      <c r="M52" s="97">
        <f t="shared" si="9"/>
        <v>47.947011431087837</v>
      </c>
      <c r="N52" s="163"/>
      <c r="O52" s="80">
        <v>5.360000000000003</v>
      </c>
      <c r="P52" s="100">
        <f t="shared" si="10"/>
        <v>47.947011431087837</v>
      </c>
      <c r="Q52" s="98">
        <f t="shared" si="11"/>
        <v>287682.06858652702</v>
      </c>
      <c r="R52" s="163"/>
      <c r="S52" s="163"/>
      <c r="T52" s="163"/>
      <c r="U52" s="163"/>
      <c r="V52" s="163"/>
      <c r="W52" s="163"/>
      <c r="X52" s="163"/>
    </row>
    <row r="53" spans="1:24">
      <c r="A53" s="163"/>
      <c r="B53" s="93">
        <v>43</v>
      </c>
      <c r="C53" s="79">
        <v>4.5850000000000017</v>
      </c>
      <c r="D53" s="189">
        <v>5.4400000000000031</v>
      </c>
      <c r="E53" s="94">
        <v>0.15049999999999999</v>
      </c>
      <c r="F53" s="95">
        <v>0.15972913175992687</v>
      </c>
      <c r="G53" s="96">
        <f t="shared" si="6"/>
        <v>46.655000000000001</v>
      </c>
      <c r="H53" s="97">
        <f t="shared" si="7"/>
        <v>49.516030845577326</v>
      </c>
      <c r="I53" s="192"/>
      <c r="J53" s="98">
        <f t="shared" si="8"/>
        <v>297096.18507346394</v>
      </c>
      <c r="K53" s="163"/>
      <c r="L53" s="99">
        <v>0.15972913175992687</v>
      </c>
      <c r="M53" s="97">
        <f t="shared" si="9"/>
        <v>49.516030845577326</v>
      </c>
      <c r="N53" s="163"/>
      <c r="O53" s="80">
        <v>5.4400000000000031</v>
      </c>
      <c r="P53" s="100">
        <f t="shared" si="10"/>
        <v>49.516030845577326</v>
      </c>
      <c r="Q53" s="98">
        <f t="shared" si="11"/>
        <v>297096.18507346394</v>
      </c>
      <c r="R53" s="163"/>
      <c r="S53" s="163"/>
      <c r="T53" s="163"/>
      <c r="U53" s="163"/>
      <c r="V53" s="163"/>
      <c r="W53" s="163"/>
      <c r="X53" s="163"/>
    </row>
    <row r="54" spans="1:24">
      <c r="A54" s="163"/>
      <c r="B54" s="93">
        <v>44</v>
      </c>
      <c r="C54" s="79">
        <v>4.6800000000000015</v>
      </c>
      <c r="D54" s="189">
        <v>5.5200000000000031</v>
      </c>
      <c r="E54" s="94">
        <v>0.154</v>
      </c>
      <c r="F54" s="95">
        <v>0.1649561125729245</v>
      </c>
      <c r="G54" s="96">
        <f t="shared" si="6"/>
        <v>47.74</v>
      </c>
      <c r="H54" s="97">
        <f t="shared" si="7"/>
        <v>51.136394897606593</v>
      </c>
      <c r="I54" s="192"/>
      <c r="J54" s="98">
        <f t="shared" si="8"/>
        <v>306818.36938563961</v>
      </c>
      <c r="K54" s="163"/>
      <c r="L54" s="99">
        <v>0.1649561125729245</v>
      </c>
      <c r="M54" s="97">
        <f t="shared" si="9"/>
        <v>51.136394897606593</v>
      </c>
      <c r="N54" s="163"/>
      <c r="O54" s="80">
        <v>5.5200000000000031</v>
      </c>
      <c r="P54" s="100">
        <f t="shared" si="10"/>
        <v>51.136394897606593</v>
      </c>
      <c r="Q54" s="98">
        <f t="shared" si="11"/>
        <v>306818.36938563961</v>
      </c>
      <c r="R54" s="163"/>
      <c r="S54" s="163"/>
      <c r="T54" s="163"/>
      <c r="U54" s="163"/>
      <c r="V54" s="163"/>
      <c r="W54" s="163"/>
      <c r="X54" s="163"/>
    </row>
    <row r="55" spans="1:24">
      <c r="A55" s="163"/>
      <c r="B55" s="93">
        <v>45</v>
      </c>
      <c r="C55" s="79">
        <v>4.7750000000000012</v>
      </c>
      <c r="D55" s="189">
        <v>5.6000000000000032</v>
      </c>
      <c r="E55" s="94">
        <v>0.1575</v>
      </c>
      <c r="F55" s="95">
        <v>0.1703541412600226</v>
      </c>
      <c r="G55" s="96">
        <f t="shared" si="6"/>
        <v>48.825000000000003</v>
      </c>
      <c r="H55" s="97">
        <f t="shared" si="7"/>
        <v>52.809783790607007</v>
      </c>
      <c r="I55" s="192"/>
      <c r="J55" s="98">
        <f t="shared" si="8"/>
        <v>316858.70274364203</v>
      </c>
      <c r="K55" s="163"/>
      <c r="L55" s="99">
        <v>0.1703541412600226</v>
      </c>
      <c r="M55" s="97">
        <f t="shared" si="9"/>
        <v>52.809783790607007</v>
      </c>
      <c r="N55" s="163"/>
      <c r="O55" s="80">
        <v>5.6000000000000032</v>
      </c>
      <c r="P55" s="100">
        <f t="shared" si="10"/>
        <v>52.809783790607007</v>
      </c>
      <c r="Q55" s="98">
        <f t="shared" si="11"/>
        <v>316858.70274364203</v>
      </c>
      <c r="R55" s="163"/>
      <c r="S55" s="163"/>
      <c r="T55" s="163"/>
      <c r="U55" s="163"/>
      <c r="V55" s="163"/>
      <c r="W55" s="163"/>
      <c r="X55" s="163"/>
    </row>
    <row r="56" spans="1:24">
      <c r="A56" s="163"/>
      <c r="B56" s="93">
        <v>46</v>
      </c>
      <c r="C56" s="79">
        <v>4.870000000000001</v>
      </c>
      <c r="D56" s="189">
        <v>5.6800000000000033</v>
      </c>
      <c r="E56" s="94">
        <v>0.161</v>
      </c>
      <c r="F56" s="95">
        <v>0.17592881519689191</v>
      </c>
      <c r="G56" s="96">
        <f t="shared" si="6"/>
        <v>49.910000000000004</v>
      </c>
      <c r="H56" s="97">
        <f t="shared" si="7"/>
        <v>54.53793271103649</v>
      </c>
      <c r="I56" s="192"/>
      <c r="J56" s="98">
        <f t="shared" si="8"/>
        <v>327227.59626621893</v>
      </c>
      <c r="K56" s="163"/>
      <c r="L56" s="99">
        <v>0.17592881519689191</v>
      </c>
      <c r="M56" s="97">
        <f t="shared" si="9"/>
        <v>54.53793271103649</v>
      </c>
      <c r="N56" s="163"/>
      <c r="O56" s="80">
        <v>5.6800000000000033</v>
      </c>
      <c r="P56" s="100">
        <f t="shared" si="10"/>
        <v>54.53793271103649</v>
      </c>
      <c r="Q56" s="98">
        <f t="shared" si="11"/>
        <v>327227.59626621893</v>
      </c>
      <c r="R56" s="163"/>
      <c r="S56" s="163"/>
      <c r="T56" s="163"/>
      <c r="U56" s="163"/>
      <c r="V56" s="163"/>
      <c r="W56" s="163"/>
      <c r="X56" s="163"/>
    </row>
    <row r="57" spans="1:24">
      <c r="A57" s="163"/>
      <c r="B57" s="93">
        <v>47</v>
      </c>
      <c r="C57" s="79">
        <v>4.9650000000000007</v>
      </c>
      <c r="D57" s="189">
        <v>5.7600000000000033</v>
      </c>
      <c r="E57" s="94">
        <v>0.16449999999999998</v>
      </c>
      <c r="F57" s="95">
        <v>0.18168591492788955</v>
      </c>
      <c r="G57" s="96">
        <f t="shared" si="6"/>
        <v>50.99499999999999</v>
      </c>
      <c r="H57" s="97">
        <f t="shared" si="7"/>
        <v>56.322633627645757</v>
      </c>
      <c r="I57" s="192"/>
      <c r="J57" s="98">
        <f t="shared" si="8"/>
        <v>337935.80176587455</v>
      </c>
      <c r="K57" s="163"/>
      <c r="L57" s="99">
        <v>0.18168591492788955</v>
      </c>
      <c r="M57" s="97">
        <f t="shared" si="9"/>
        <v>56.322633627645757</v>
      </c>
      <c r="N57" s="163"/>
      <c r="O57" s="80">
        <v>5.7600000000000033</v>
      </c>
      <c r="P57" s="100">
        <f t="shared" si="10"/>
        <v>56.322633627645757</v>
      </c>
      <c r="Q57" s="98">
        <f t="shared" si="11"/>
        <v>337935.80176587455</v>
      </c>
      <c r="R57" s="163"/>
      <c r="S57" s="163"/>
      <c r="T57" s="163"/>
      <c r="U57" s="163"/>
      <c r="V57" s="163"/>
      <c r="W57" s="163"/>
      <c r="X57" s="163"/>
    </row>
    <row r="58" spans="1:24">
      <c r="A58" s="163"/>
      <c r="B58" s="93">
        <v>48</v>
      </c>
      <c r="C58" s="79">
        <v>5.0600000000000005</v>
      </c>
      <c r="D58" s="189">
        <v>5.8400000000000034</v>
      </c>
      <c r="E58" s="94">
        <v>0.16799999999999998</v>
      </c>
      <c r="F58" s="95">
        <v>0.18763141016007648</v>
      </c>
      <c r="G58" s="96">
        <f t="shared" si="6"/>
        <v>52.079999999999991</v>
      </c>
      <c r="H58" s="97">
        <f t="shared" si="7"/>
        <v>58.165737149623709</v>
      </c>
      <c r="I58" s="192"/>
      <c r="J58" s="98">
        <f t="shared" si="8"/>
        <v>348994.42289774225</v>
      </c>
      <c r="K58" s="163"/>
      <c r="L58" s="99">
        <v>0.18763141016007648</v>
      </c>
      <c r="M58" s="97">
        <f t="shared" si="9"/>
        <v>58.165737149623709</v>
      </c>
      <c r="N58" s="163"/>
      <c r="O58" s="80">
        <v>5.8400000000000034</v>
      </c>
      <c r="P58" s="100">
        <f t="shared" si="10"/>
        <v>58.165737149623709</v>
      </c>
      <c r="Q58" s="98">
        <f t="shared" si="11"/>
        <v>348994.42289774225</v>
      </c>
      <c r="R58" s="163"/>
      <c r="S58" s="163"/>
      <c r="T58" s="163"/>
      <c r="U58" s="163"/>
      <c r="V58" s="163"/>
      <c r="W58" s="163"/>
      <c r="X58" s="163"/>
    </row>
    <row r="59" spans="1:24">
      <c r="A59" s="163"/>
      <c r="B59" s="93">
        <v>49</v>
      </c>
      <c r="C59" s="79">
        <v>5.1550000000000002</v>
      </c>
      <c r="D59" s="189">
        <v>5.9200000000000035</v>
      </c>
      <c r="E59" s="94">
        <v>0.17149999999999999</v>
      </c>
      <c r="F59" s="95">
        <v>0.19377146595338332</v>
      </c>
      <c r="G59" s="96">
        <f t="shared" si="6"/>
        <v>53.164999999999992</v>
      </c>
      <c r="H59" s="97">
        <f t="shared" si="7"/>
        <v>60.069154445548833</v>
      </c>
      <c r="I59" s="192"/>
      <c r="J59" s="98">
        <f t="shared" si="8"/>
        <v>360414.926673293</v>
      </c>
      <c r="K59" s="163"/>
      <c r="L59" s="99">
        <v>0.19377146595338332</v>
      </c>
      <c r="M59" s="97">
        <f t="shared" si="9"/>
        <v>60.069154445548833</v>
      </c>
      <c r="N59" s="163"/>
      <c r="O59" s="80">
        <v>5.9200000000000035</v>
      </c>
      <c r="P59" s="100">
        <f t="shared" si="10"/>
        <v>60.069154445548833</v>
      </c>
      <c r="Q59" s="98">
        <f t="shared" si="11"/>
        <v>360414.926673293</v>
      </c>
      <c r="R59" s="163"/>
      <c r="S59" s="163"/>
      <c r="T59" s="163"/>
      <c r="U59" s="163"/>
      <c r="V59" s="163"/>
      <c r="W59" s="163"/>
      <c r="X59" s="163"/>
    </row>
    <row r="60" spans="1:24">
      <c r="A60" s="163"/>
      <c r="B60" s="93">
        <v>50</v>
      </c>
      <c r="C60" s="79">
        <v>5.25</v>
      </c>
      <c r="D60" s="189">
        <v>6.0000000000000036</v>
      </c>
      <c r="E60" s="94">
        <v>0.17499999999999999</v>
      </c>
      <c r="F60" s="95">
        <v>0.20011244911334353</v>
      </c>
      <c r="G60" s="96">
        <f t="shared" si="6"/>
        <v>54.25</v>
      </c>
      <c r="H60" s="97">
        <f t="shared" si="7"/>
        <v>62.034859225136493</v>
      </c>
      <c r="I60" s="192"/>
      <c r="J60" s="98">
        <f t="shared" si="8"/>
        <v>372209.15535081894</v>
      </c>
      <c r="K60" s="163"/>
      <c r="L60" s="99">
        <v>0.20011244911334353</v>
      </c>
      <c r="M60" s="97">
        <f t="shared" si="9"/>
        <v>62.034859225136493</v>
      </c>
      <c r="N60" s="163"/>
      <c r="O60" s="80">
        <v>6.0000000000000036</v>
      </c>
      <c r="P60" s="100">
        <f t="shared" si="10"/>
        <v>62.034859225136493</v>
      </c>
      <c r="Q60" s="98">
        <f t="shared" si="11"/>
        <v>372209.15535081894</v>
      </c>
      <c r="R60" s="163"/>
      <c r="S60" s="163"/>
      <c r="T60" s="163"/>
      <c r="U60" s="163"/>
      <c r="V60" s="163"/>
      <c r="W60" s="163"/>
      <c r="X60" s="163"/>
    </row>
    <row r="61" spans="1:24">
      <c r="A61" s="163"/>
      <c r="B61" s="93">
        <v>51</v>
      </c>
      <c r="C61" s="79">
        <v>5.3449999999999998</v>
      </c>
      <c r="D61" s="189">
        <v>6.0800000000000036</v>
      </c>
      <c r="E61" s="94">
        <v>0.17849999999999999</v>
      </c>
      <c r="F61" s="95">
        <v>0.20666093479302239</v>
      </c>
      <c r="G61" s="96">
        <f t="shared" si="6"/>
        <v>55.335000000000001</v>
      </c>
      <c r="H61" s="97">
        <f t="shared" si="7"/>
        <v>64.064889785836939</v>
      </c>
      <c r="I61" s="192"/>
      <c r="J61" s="98">
        <f t="shared" si="8"/>
        <v>384389.33871502161</v>
      </c>
      <c r="K61" s="163"/>
      <c r="L61" s="99">
        <v>0.20666093479302239</v>
      </c>
      <c r="M61" s="97">
        <f t="shared" si="9"/>
        <v>64.064889785836939</v>
      </c>
      <c r="N61" s="163"/>
      <c r="O61" s="80">
        <v>6.0800000000000036</v>
      </c>
      <c r="P61" s="100">
        <f t="shared" si="10"/>
        <v>64.064889785836939</v>
      </c>
      <c r="Q61" s="98">
        <f t="shared" si="11"/>
        <v>384389.33871502161</v>
      </c>
      <c r="R61" s="163"/>
      <c r="S61" s="163"/>
      <c r="T61" s="163"/>
      <c r="U61" s="163"/>
      <c r="V61" s="163"/>
      <c r="W61" s="163"/>
      <c r="X61" s="163"/>
    </row>
    <row r="62" spans="1:24">
      <c r="A62" s="163"/>
      <c r="B62" s="93">
        <v>52</v>
      </c>
      <c r="C62" s="79">
        <v>5.4399999999999995</v>
      </c>
      <c r="D62" s="189">
        <v>6.1600000000000037</v>
      </c>
      <c r="E62" s="94">
        <v>0.182</v>
      </c>
      <c r="F62" s="95">
        <v>0.21342371331098769</v>
      </c>
      <c r="G62" s="96">
        <f t="shared" si="6"/>
        <v>56.42</v>
      </c>
      <c r="H62" s="97">
        <f t="shared" si="7"/>
        <v>66.161351126406188</v>
      </c>
      <c r="I62" s="192"/>
      <c r="J62" s="98">
        <f t="shared" si="8"/>
        <v>396968.10675843712</v>
      </c>
      <c r="K62" s="163"/>
      <c r="L62" s="99">
        <v>0.21342371331098769</v>
      </c>
      <c r="M62" s="97">
        <f t="shared" si="9"/>
        <v>66.161351126406188</v>
      </c>
      <c r="N62" s="163"/>
      <c r="O62" s="80">
        <v>6.1600000000000037</v>
      </c>
      <c r="P62" s="100">
        <f t="shared" si="10"/>
        <v>66.161351126406188</v>
      </c>
      <c r="Q62" s="98">
        <f t="shared" si="11"/>
        <v>396968.10675843712</v>
      </c>
      <c r="R62" s="163"/>
      <c r="S62" s="163"/>
      <c r="T62" s="163"/>
      <c r="U62" s="163"/>
      <c r="V62" s="163"/>
      <c r="W62" s="163"/>
      <c r="X62" s="163"/>
    </row>
    <row r="63" spans="1:24">
      <c r="A63" s="163"/>
      <c r="B63" s="93">
        <v>53</v>
      </c>
      <c r="C63" s="79">
        <v>5.5349999999999993</v>
      </c>
      <c r="D63" s="189">
        <v>6.2400000000000038</v>
      </c>
      <c r="E63" s="94">
        <v>0.1855</v>
      </c>
      <c r="F63" s="95">
        <v>0.22040779719239217</v>
      </c>
      <c r="G63" s="96">
        <f t="shared" si="6"/>
        <v>57.505000000000003</v>
      </c>
      <c r="H63" s="97">
        <f t="shared" si="7"/>
        <v>68.32641712964157</v>
      </c>
      <c r="I63" s="192"/>
      <c r="J63" s="98">
        <f t="shared" si="8"/>
        <v>409958.50277784938</v>
      </c>
      <c r="K63" s="163"/>
      <c r="L63" s="99">
        <v>0.22040779719239217</v>
      </c>
      <c r="M63" s="97">
        <f t="shared" si="9"/>
        <v>68.32641712964157</v>
      </c>
      <c r="N63" s="163"/>
      <c r="O63" s="80">
        <v>6.2400000000000038</v>
      </c>
      <c r="P63" s="100">
        <f t="shared" si="10"/>
        <v>68.32641712964157</v>
      </c>
      <c r="Q63" s="98">
        <f t="shared" si="11"/>
        <v>409958.50277784938</v>
      </c>
      <c r="R63" s="163"/>
      <c r="S63" s="163"/>
      <c r="T63" s="163"/>
      <c r="U63" s="163"/>
      <c r="V63" s="163"/>
      <c r="W63" s="163"/>
      <c r="X63" s="163"/>
    </row>
    <row r="64" spans="1:24">
      <c r="A64" s="163"/>
      <c r="B64" s="93">
        <v>54</v>
      </c>
      <c r="C64" s="79">
        <v>5.629999999999999</v>
      </c>
      <c r="D64" s="189">
        <v>6.3200000000000038</v>
      </c>
      <c r="E64" s="94">
        <v>0.189</v>
      </c>
      <c r="F64" s="95">
        <v>0.22762042844046829</v>
      </c>
      <c r="G64" s="96">
        <f t="shared" si="6"/>
        <v>58.59</v>
      </c>
      <c r="H64" s="97">
        <f t="shared" si="7"/>
        <v>70.562332816545165</v>
      </c>
      <c r="I64" s="192"/>
      <c r="J64" s="98">
        <f t="shared" si="8"/>
        <v>423373.99689927098</v>
      </c>
      <c r="K64" s="163"/>
      <c r="L64" s="99">
        <v>0.22762042844046829</v>
      </c>
      <c r="M64" s="97">
        <f t="shared" si="9"/>
        <v>70.562332816545165</v>
      </c>
      <c r="N64" s="163"/>
      <c r="O64" s="80">
        <v>6.3200000000000038</v>
      </c>
      <c r="P64" s="100">
        <f t="shared" si="10"/>
        <v>70.562332816545165</v>
      </c>
      <c r="Q64" s="98">
        <f t="shared" si="11"/>
        <v>423373.99689927098</v>
      </c>
      <c r="R64" s="163"/>
      <c r="S64" s="163"/>
      <c r="T64" s="163"/>
      <c r="U64" s="163"/>
      <c r="V64" s="163"/>
      <c r="W64" s="163"/>
      <c r="X64" s="163"/>
    </row>
    <row r="65" spans="1:24">
      <c r="A65" s="163"/>
      <c r="B65" s="93">
        <v>55</v>
      </c>
      <c r="C65" s="79">
        <v>5.7249999999999988</v>
      </c>
      <c r="D65" s="189">
        <v>6.4000000000000039</v>
      </c>
      <c r="E65" s="94">
        <v>0.1925</v>
      </c>
      <c r="F65" s="95">
        <v>0.23506908604597548</v>
      </c>
      <c r="G65" s="96">
        <f t="shared" si="6"/>
        <v>59.675000000000004</v>
      </c>
      <c r="H65" s="97">
        <f t="shared" si="7"/>
        <v>72.871416674252401</v>
      </c>
      <c r="I65" s="192"/>
      <c r="J65" s="98">
        <f t="shared" si="8"/>
        <v>437228.50004551443</v>
      </c>
      <c r="K65" s="163"/>
      <c r="L65" s="99">
        <v>0.23506908604597548</v>
      </c>
      <c r="M65" s="97">
        <f t="shared" si="9"/>
        <v>72.871416674252401</v>
      </c>
      <c r="N65" s="163"/>
      <c r="O65" s="80">
        <v>6.4000000000000039</v>
      </c>
      <c r="P65" s="100">
        <f t="shared" si="10"/>
        <v>72.871416674252401</v>
      </c>
      <c r="Q65" s="98">
        <f t="shared" si="11"/>
        <v>437228.50004551443</v>
      </c>
      <c r="R65" s="163"/>
      <c r="S65" s="163"/>
      <c r="T65" s="163"/>
      <c r="U65" s="163"/>
      <c r="V65" s="163"/>
      <c r="W65" s="163"/>
      <c r="X65" s="163"/>
    </row>
    <row r="66" spans="1:24">
      <c r="A66" s="163"/>
      <c r="B66" s="93">
        <v>56</v>
      </c>
      <c r="C66" s="79">
        <v>5.8199999999999985</v>
      </c>
      <c r="D66" s="189">
        <v>6.480000000000004</v>
      </c>
      <c r="E66" s="94">
        <v>0.19600000000000001</v>
      </c>
      <c r="F66" s="95">
        <v>0.24276149374238709</v>
      </c>
      <c r="G66" s="96">
        <f t="shared" si="6"/>
        <v>60.760000000000005</v>
      </c>
      <c r="H66" s="97">
        <f t="shared" si="7"/>
        <v>75.256063060139994</v>
      </c>
      <c r="I66" s="192"/>
      <c r="J66" s="98">
        <f t="shared" si="8"/>
        <v>451536.37836083997</v>
      </c>
      <c r="K66" s="163"/>
      <c r="L66" s="99">
        <v>0.24276149374238709</v>
      </c>
      <c r="M66" s="97">
        <f t="shared" si="9"/>
        <v>75.256063060139994</v>
      </c>
      <c r="N66" s="163"/>
      <c r="O66" s="80">
        <v>6.480000000000004</v>
      </c>
      <c r="P66" s="100">
        <f t="shared" si="10"/>
        <v>75.256063060139994</v>
      </c>
      <c r="Q66" s="98">
        <f t="shared" si="11"/>
        <v>451536.37836083997</v>
      </c>
      <c r="R66" s="163"/>
      <c r="S66" s="163"/>
      <c r="T66" s="163"/>
      <c r="U66" s="163"/>
      <c r="V66" s="163"/>
      <c r="W66" s="163"/>
      <c r="X66" s="163"/>
    </row>
    <row r="67" spans="1:24">
      <c r="A67" s="163"/>
      <c r="B67" s="93">
        <v>57</v>
      </c>
      <c r="C67" s="79">
        <v>5.9149999999999983</v>
      </c>
      <c r="D67" s="189">
        <v>6.5600000000000041</v>
      </c>
      <c r="E67" s="94">
        <v>0.19949999999999998</v>
      </c>
      <c r="F67" s="95">
        <v>0.25070562801485818</v>
      </c>
      <c r="G67" s="96">
        <f t="shared" si="6"/>
        <v>61.844999999999992</v>
      </c>
      <c r="H67" s="97">
        <f t="shared" si="7"/>
        <v>77.718744684606037</v>
      </c>
      <c r="I67" s="192"/>
      <c r="J67" s="98">
        <f t="shared" si="8"/>
        <v>466312.4681076362</v>
      </c>
      <c r="K67" s="163"/>
      <c r="L67" s="99">
        <v>0.25070562801485818</v>
      </c>
      <c r="M67" s="97">
        <f t="shared" si="9"/>
        <v>77.718744684606037</v>
      </c>
      <c r="N67" s="163"/>
      <c r="O67" s="80">
        <v>6.5600000000000041</v>
      </c>
      <c r="P67" s="100">
        <f t="shared" si="10"/>
        <v>77.718744684606037</v>
      </c>
      <c r="Q67" s="98">
        <f t="shared" si="11"/>
        <v>466312.4681076362</v>
      </c>
      <c r="R67" s="163"/>
      <c r="S67" s="163"/>
      <c r="T67" s="163"/>
      <c r="U67" s="163"/>
      <c r="V67" s="163"/>
      <c r="W67" s="163"/>
      <c r="X67" s="163"/>
    </row>
    <row r="68" spans="1:24">
      <c r="A68" s="163"/>
      <c r="B68" s="93">
        <v>58</v>
      </c>
      <c r="C68" s="79">
        <v>6.009999999999998</v>
      </c>
      <c r="D68" s="189">
        <v>6.6400000000000041</v>
      </c>
      <c r="E68" s="94">
        <v>0.20299999999999999</v>
      </c>
      <c r="F68" s="95">
        <v>0.25890972637127929</v>
      </c>
      <c r="G68" s="96">
        <f t="shared" si="6"/>
        <v>62.929999999999993</v>
      </c>
      <c r="H68" s="97">
        <f t="shared" si="7"/>
        <v>80.262015175096579</v>
      </c>
      <c r="I68" s="192"/>
      <c r="J68" s="98">
        <f t="shared" si="8"/>
        <v>481572.0910505795</v>
      </c>
      <c r="K68" s="163"/>
      <c r="L68" s="99">
        <v>0.25890972637127929</v>
      </c>
      <c r="M68" s="97">
        <f t="shared" si="9"/>
        <v>80.262015175096579</v>
      </c>
      <c r="N68" s="163"/>
      <c r="O68" s="80">
        <v>6.6400000000000041</v>
      </c>
      <c r="P68" s="100">
        <f t="shared" si="10"/>
        <v>80.262015175096579</v>
      </c>
      <c r="Q68" s="98">
        <f t="shared" si="11"/>
        <v>481572.0910505795</v>
      </c>
      <c r="R68" s="163"/>
      <c r="S68" s="163"/>
      <c r="T68" s="163"/>
      <c r="U68" s="163"/>
      <c r="V68" s="163"/>
      <c r="W68" s="163"/>
      <c r="X68" s="163"/>
    </row>
    <row r="69" spans="1:24">
      <c r="A69" s="163"/>
      <c r="B69" s="93">
        <v>59</v>
      </c>
      <c r="C69" s="79">
        <v>6.1049999999999978</v>
      </c>
      <c r="D69" s="189">
        <v>6.7200000000000042</v>
      </c>
      <c r="E69" s="94">
        <v>0.20649999999999999</v>
      </c>
      <c r="F69" s="95">
        <v>0.26738229588399148</v>
      </c>
      <c r="G69" s="96">
        <f t="shared" si="6"/>
        <v>64.015000000000001</v>
      </c>
      <c r="H69" s="97">
        <f t="shared" si="7"/>
        <v>82.888511724037357</v>
      </c>
      <c r="I69" s="192"/>
      <c r="J69" s="98">
        <f t="shared" si="8"/>
        <v>497331.07034422416</v>
      </c>
      <c r="K69" s="163"/>
      <c r="L69" s="99">
        <v>0.26738229588399148</v>
      </c>
      <c r="M69" s="97">
        <f t="shared" si="9"/>
        <v>82.888511724037357</v>
      </c>
      <c r="N69" s="163"/>
      <c r="O69" s="80">
        <v>6.7200000000000042</v>
      </c>
      <c r="P69" s="100">
        <f t="shared" si="10"/>
        <v>82.888511724037357</v>
      </c>
      <c r="Q69" s="98">
        <f t="shared" si="11"/>
        <v>497331.07034422416</v>
      </c>
      <c r="R69" s="163"/>
      <c r="S69" s="163"/>
      <c r="T69" s="163"/>
      <c r="U69" s="163"/>
      <c r="V69" s="163"/>
      <c r="W69" s="163"/>
      <c r="X69" s="163"/>
    </row>
    <row r="70" spans="1:24">
      <c r="A70" s="163"/>
      <c r="B70" s="93">
        <v>60</v>
      </c>
      <c r="C70" s="79">
        <v>6.1999999999999975</v>
      </c>
      <c r="D70" s="189">
        <v>6.8000000000000043</v>
      </c>
      <c r="E70" s="94">
        <v>0.21</v>
      </c>
      <c r="F70" s="95">
        <v>0.27613212201102189</v>
      </c>
      <c r="G70" s="96">
        <f t="shared" si="6"/>
        <v>65.099999999999994</v>
      </c>
      <c r="H70" s="97">
        <f t="shared" si="7"/>
        <v>85.600957823416778</v>
      </c>
      <c r="I70" s="192"/>
      <c r="J70" s="98">
        <f t="shared" si="8"/>
        <v>513605.74694050069</v>
      </c>
      <c r="K70" s="163"/>
      <c r="L70" s="99">
        <v>0.27613212201102189</v>
      </c>
      <c r="M70" s="97">
        <f t="shared" si="9"/>
        <v>85.600957823416778</v>
      </c>
      <c r="N70" s="163"/>
      <c r="O70" s="80">
        <v>6.8000000000000043</v>
      </c>
      <c r="P70" s="100">
        <f t="shared" si="10"/>
        <v>85.600957823416778</v>
      </c>
      <c r="Q70" s="98">
        <f t="shared" si="11"/>
        <v>513605.74694050069</v>
      </c>
      <c r="R70" s="163"/>
      <c r="S70" s="163"/>
      <c r="T70" s="163"/>
      <c r="U70" s="163"/>
      <c r="V70" s="163"/>
      <c r="W70" s="163"/>
      <c r="X70" s="163"/>
    </row>
    <row r="71" spans="1:24">
      <c r="A71" s="163"/>
      <c r="B71" s="93">
        <v>61</v>
      </c>
      <c r="C71" s="79">
        <v>6.2949999999999973</v>
      </c>
      <c r="D71" s="189">
        <v>6.8800000000000043</v>
      </c>
      <c r="E71" s="94">
        <v>0.2135</v>
      </c>
      <c r="F71" s="95">
        <v>0.2851682777059848</v>
      </c>
      <c r="G71" s="96">
        <f t="shared" si="6"/>
        <v>66.185000000000002</v>
      </c>
      <c r="H71" s="97">
        <f t="shared" si="7"/>
        <v>88.402166088855282</v>
      </c>
      <c r="I71" s="192"/>
      <c r="J71" s="98">
        <f t="shared" si="8"/>
        <v>530412.99653313169</v>
      </c>
      <c r="K71" s="163"/>
      <c r="L71" s="99">
        <v>0.2851682777059848</v>
      </c>
      <c r="M71" s="97">
        <f t="shared" si="9"/>
        <v>88.402166088855282</v>
      </c>
      <c r="N71" s="163"/>
      <c r="O71" s="80">
        <v>6.8800000000000043</v>
      </c>
      <c r="P71" s="100">
        <f t="shared" si="10"/>
        <v>88.402166088855282</v>
      </c>
      <c r="Q71" s="98">
        <f t="shared" si="11"/>
        <v>530412.99653313169</v>
      </c>
      <c r="R71" s="163"/>
      <c r="S71" s="163"/>
      <c r="T71" s="163"/>
      <c r="U71" s="163"/>
      <c r="V71" s="163"/>
      <c r="W71" s="163"/>
      <c r="X71" s="163"/>
    </row>
    <row r="72" spans="1:24">
      <c r="A72" s="163"/>
      <c r="B72" s="93">
        <v>62</v>
      </c>
      <c r="C72" s="79">
        <v>6.389999999999997</v>
      </c>
      <c r="D72" s="189">
        <v>6.9600000000000044</v>
      </c>
      <c r="E72" s="94">
        <v>0.217</v>
      </c>
      <c r="F72" s="95">
        <v>0.29450013282609588</v>
      </c>
      <c r="G72" s="96">
        <f t="shared" si="6"/>
        <v>67.27</v>
      </c>
      <c r="H72" s="97">
        <f t="shared" si="7"/>
        <v>91.295041176089725</v>
      </c>
      <c r="I72" s="192"/>
      <c r="J72" s="98">
        <f t="shared" si="8"/>
        <v>547770.24705653836</v>
      </c>
      <c r="K72" s="163"/>
      <c r="L72" s="99">
        <v>0.29450013282609588</v>
      </c>
      <c r="M72" s="97">
        <f t="shared" si="9"/>
        <v>91.295041176089725</v>
      </c>
      <c r="N72" s="163"/>
      <c r="O72" s="80">
        <v>6.9600000000000044</v>
      </c>
      <c r="P72" s="100">
        <f t="shared" si="10"/>
        <v>91.295041176089725</v>
      </c>
      <c r="Q72" s="98">
        <f t="shared" si="11"/>
        <v>547770.24705653836</v>
      </c>
      <c r="R72" s="163"/>
      <c r="S72" s="163"/>
      <c r="T72" s="163"/>
      <c r="U72" s="163"/>
      <c r="V72" s="163"/>
      <c r="W72" s="163"/>
      <c r="X72" s="163"/>
    </row>
    <row r="73" spans="1:24">
      <c r="A73" s="163"/>
      <c r="B73" s="93">
        <v>63</v>
      </c>
      <c r="C73" s="79">
        <v>6.4849999999999968</v>
      </c>
      <c r="D73" s="189">
        <v>7.0400000000000045</v>
      </c>
      <c r="E73" s="94">
        <v>0.22049999999999997</v>
      </c>
      <c r="F73" s="95">
        <v>0.30413736384805429</v>
      </c>
      <c r="G73" s="96">
        <f t="shared" si="6"/>
        <v>68.35499999999999</v>
      </c>
      <c r="H73" s="97">
        <f t="shared" si="7"/>
        <v>94.282582792896832</v>
      </c>
      <c r="I73" s="192"/>
      <c r="J73" s="98">
        <f t="shared" si="8"/>
        <v>565695.49675738101</v>
      </c>
      <c r="K73" s="163"/>
      <c r="L73" s="99">
        <v>0.30413736384805429</v>
      </c>
      <c r="M73" s="97">
        <f t="shared" si="9"/>
        <v>94.282582792896832</v>
      </c>
      <c r="N73" s="163"/>
      <c r="O73" s="80">
        <v>7.0400000000000045</v>
      </c>
      <c r="P73" s="100">
        <f t="shared" si="10"/>
        <v>94.282582792896832</v>
      </c>
      <c r="Q73" s="98">
        <f t="shared" si="11"/>
        <v>565695.49675738101</v>
      </c>
      <c r="R73" s="163"/>
      <c r="S73" s="163"/>
      <c r="T73" s="163"/>
      <c r="U73" s="163"/>
      <c r="V73" s="163"/>
      <c r="W73" s="163"/>
      <c r="X73" s="163"/>
    </row>
    <row r="74" spans="1:24">
      <c r="A74" s="163"/>
      <c r="B74" s="93">
        <v>64</v>
      </c>
      <c r="C74" s="79">
        <v>6.5799999999999965</v>
      </c>
      <c r="D74" s="189">
        <v>7.1200000000000045</v>
      </c>
      <c r="E74" s="94">
        <v>0.22399999999999998</v>
      </c>
      <c r="F74" s="95">
        <v>0.314089963901868</v>
      </c>
      <c r="G74" s="96">
        <f t="shared" si="6"/>
        <v>69.44</v>
      </c>
      <c r="H74" s="97">
        <f t="shared" si="7"/>
        <v>97.367888809579085</v>
      </c>
      <c r="I74" s="192"/>
      <c r="J74" s="98">
        <f t="shared" si="8"/>
        <v>584207.33285747457</v>
      </c>
      <c r="K74" s="163"/>
      <c r="L74" s="99">
        <v>0.314089963901868</v>
      </c>
      <c r="M74" s="97">
        <f t="shared" si="9"/>
        <v>97.367888809579085</v>
      </c>
      <c r="N74" s="163"/>
      <c r="O74" s="80">
        <v>7.1200000000000045</v>
      </c>
      <c r="P74" s="100">
        <f t="shared" si="10"/>
        <v>97.367888809579085</v>
      </c>
      <c r="Q74" s="98">
        <f t="shared" si="11"/>
        <v>584207.33285747457</v>
      </c>
      <c r="R74" s="163"/>
      <c r="S74" s="163"/>
      <c r="T74" s="163"/>
      <c r="U74" s="163"/>
      <c r="V74" s="163"/>
      <c r="W74" s="163"/>
      <c r="X74" s="163"/>
    </row>
    <row r="75" spans="1:24">
      <c r="A75" s="163"/>
      <c r="B75" s="93">
        <v>65</v>
      </c>
      <c r="C75" s="79">
        <v>6.6749999999999963</v>
      </c>
      <c r="D75" s="189">
        <v>7.2000000000000046</v>
      </c>
      <c r="E75" s="94">
        <v>0.22749999999999998</v>
      </c>
      <c r="F75" s="95">
        <v>0.32436825313302559</v>
      </c>
      <c r="G75" s="96">
        <f t="shared" si="6"/>
        <v>70.524999999999991</v>
      </c>
      <c r="H75" s="97">
        <f t="shared" si="7"/>
        <v>100.55415847123793</v>
      </c>
      <c r="I75" s="192"/>
      <c r="J75" s="98">
        <f t="shared" si="8"/>
        <v>603324.95082742756</v>
      </c>
      <c r="K75" s="163"/>
      <c r="L75" s="99">
        <v>0.32436825313302559</v>
      </c>
      <c r="M75" s="97">
        <f t="shared" si="9"/>
        <v>100.55415847123793</v>
      </c>
      <c r="N75" s="163"/>
      <c r="O75" s="80">
        <v>7.2000000000000046</v>
      </c>
      <c r="P75" s="100">
        <f t="shared" si="10"/>
        <v>100.55415847123793</v>
      </c>
      <c r="Q75" s="98">
        <f t="shared" si="11"/>
        <v>603324.95082742756</v>
      </c>
      <c r="R75" s="163"/>
      <c r="S75" s="163"/>
      <c r="T75" s="163"/>
      <c r="U75" s="163"/>
      <c r="V75" s="163"/>
      <c r="W75" s="163"/>
      <c r="X75" s="163"/>
    </row>
    <row r="76" spans="1:24">
      <c r="A76" s="163"/>
      <c r="B76" s="93">
        <v>66</v>
      </c>
      <c r="C76" s="79">
        <v>6.769999999999996</v>
      </c>
      <c r="D76" s="189">
        <v>7.2800000000000047</v>
      </c>
      <c r="E76" s="94">
        <v>0.23099999999999998</v>
      </c>
      <c r="F76" s="95">
        <v>0.33498288940376031</v>
      </c>
      <c r="G76" s="96">
        <f t="shared" si="6"/>
        <v>71.61</v>
      </c>
      <c r="H76" s="97">
        <f t="shared" si="7"/>
        <v>103.8446957151657</v>
      </c>
      <c r="I76" s="192"/>
      <c r="J76" s="98">
        <f t="shared" si="8"/>
        <v>623068.17429099418</v>
      </c>
      <c r="K76" s="163"/>
      <c r="L76" s="99">
        <v>0.33498288940376031</v>
      </c>
      <c r="M76" s="97">
        <f t="shared" si="9"/>
        <v>103.8446957151657</v>
      </c>
      <c r="N76" s="163"/>
      <c r="O76" s="80">
        <v>7.2800000000000047</v>
      </c>
      <c r="P76" s="100">
        <f t="shared" si="10"/>
        <v>103.8446957151657</v>
      </c>
      <c r="Q76" s="98">
        <f t="shared" si="11"/>
        <v>623068.17429099418</v>
      </c>
      <c r="R76" s="163"/>
      <c r="S76" s="163"/>
      <c r="T76" s="163"/>
      <c r="U76" s="163"/>
      <c r="V76" s="163"/>
      <c r="W76" s="163"/>
      <c r="X76" s="163"/>
    </row>
    <row r="77" spans="1:24">
      <c r="A77" s="163"/>
      <c r="B77" s="93">
        <v>67</v>
      </c>
      <c r="C77" s="79">
        <v>6.8649999999999958</v>
      </c>
      <c r="D77" s="189">
        <v>7.3600000000000048</v>
      </c>
      <c r="E77" s="94">
        <v>0.23449999999999999</v>
      </c>
      <c r="F77" s="95">
        <v>0.34594487934450358</v>
      </c>
      <c r="G77" s="96">
        <f t="shared" si="6"/>
        <v>72.694999999999993</v>
      </c>
      <c r="H77" s="97">
        <f t="shared" si="7"/>
        <v>107.2429125967961</v>
      </c>
      <c r="I77" s="192"/>
      <c r="J77" s="98">
        <f t="shared" si="8"/>
        <v>643457.47558077669</v>
      </c>
      <c r="K77" s="163"/>
      <c r="L77" s="99">
        <v>0.34594487934450358</v>
      </c>
      <c r="M77" s="97">
        <f t="shared" si="9"/>
        <v>107.2429125967961</v>
      </c>
      <c r="N77" s="163"/>
      <c r="O77" s="80">
        <v>7.3600000000000048</v>
      </c>
      <c r="P77" s="100">
        <f t="shared" si="10"/>
        <v>107.2429125967961</v>
      </c>
      <c r="Q77" s="98">
        <f t="shared" si="11"/>
        <v>643457.47558077669</v>
      </c>
      <c r="R77" s="163"/>
      <c r="S77" s="163"/>
      <c r="T77" s="163"/>
      <c r="U77" s="163"/>
      <c r="V77" s="163"/>
      <c r="W77" s="163"/>
      <c r="X77" s="163"/>
    </row>
    <row r="78" spans="1:24">
      <c r="A78" s="163"/>
      <c r="B78" s="93">
        <v>68</v>
      </c>
      <c r="C78" s="79">
        <v>6.9599999999999955</v>
      </c>
      <c r="D78" s="189">
        <v>7.4400000000000048</v>
      </c>
      <c r="E78" s="94">
        <v>0.23799999999999999</v>
      </c>
      <c r="F78" s="95">
        <v>0.35726558976698491</v>
      </c>
      <c r="G78" s="96">
        <f t="shared" ref="G78:G110" si="12">IF(E78&lt;2.5%,0,$G$8*E78)</f>
        <v>73.78</v>
      </c>
      <c r="H78" s="97">
        <f t="shared" ref="H78:H110" si="13">IF(F78&lt;5%,0,$H$8*F78)</f>
        <v>110.75233282776533</v>
      </c>
      <c r="I78" s="192"/>
      <c r="J78" s="98">
        <f t="shared" ref="J78:J110" si="14">SUM(H78*$I$8)*500</f>
        <v>664513.99696659204</v>
      </c>
      <c r="K78" s="163"/>
      <c r="L78" s="99">
        <v>0.35726558976698491</v>
      </c>
      <c r="M78" s="97">
        <f t="shared" ref="M78:M110" si="15">H78</f>
        <v>110.75233282776533</v>
      </c>
      <c r="N78" s="163"/>
      <c r="O78" s="80">
        <v>7.4400000000000048</v>
      </c>
      <c r="P78" s="100">
        <f t="shared" ref="P78:P110" si="16">H78</f>
        <v>110.75233282776533</v>
      </c>
      <c r="Q78" s="98">
        <f t="shared" ref="Q78:Q110" si="17">SUM(H78*$I$8)*500</f>
        <v>664513.99696659204</v>
      </c>
      <c r="R78" s="163"/>
      <c r="S78" s="163"/>
      <c r="T78" s="163"/>
      <c r="U78" s="163"/>
      <c r="V78" s="163"/>
      <c r="W78" s="163"/>
      <c r="X78" s="163"/>
    </row>
    <row r="79" spans="1:24">
      <c r="A79" s="163"/>
      <c r="B79" s="93">
        <v>69</v>
      </c>
      <c r="C79" s="79">
        <v>7.0549999999999953</v>
      </c>
      <c r="D79" s="189">
        <v>7.5200000000000049</v>
      </c>
      <c r="E79" s="94">
        <v>0.24149999999999996</v>
      </c>
      <c r="F79" s="95">
        <v>0.36895675945081585</v>
      </c>
      <c r="G79" s="96">
        <f t="shared" si="12"/>
        <v>74.864999999999995</v>
      </c>
      <c r="H79" s="97">
        <f t="shared" si="13"/>
        <v>114.37659542975291</v>
      </c>
      <c r="I79" s="192"/>
      <c r="J79" s="98">
        <f t="shared" si="14"/>
        <v>686259.57257851749</v>
      </c>
      <c r="K79" s="163"/>
      <c r="L79" s="99">
        <v>0.36895675945081585</v>
      </c>
      <c r="M79" s="97">
        <f t="shared" si="15"/>
        <v>114.37659542975291</v>
      </c>
      <c r="N79" s="163"/>
      <c r="O79" s="80">
        <v>7.5200000000000049</v>
      </c>
      <c r="P79" s="100">
        <f t="shared" si="16"/>
        <v>114.37659542975291</v>
      </c>
      <c r="Q79" s="98">
        <f t="shared" si="17"/>
        <v>686259.57257851749</v>
      </c>
      <c r="R79" s="163"/>
      <c r="S79" s="163"/>
      <c r="T79" s="163"/>
      <c r="U79" s="163"/>
      <c r="V79" s="163"/>
      <c r="W79" s="163"/>
      <c r="X79" s="163"/>
    </row>
    <row r="80" spans="1:24">
      <c r="A80" s="163"/>
      <c r="B80" s="93">
        <v>70</v>
      </c>
      <c r="C80" s="79">
        <v>7.149999999999995</v>
      </c>
      <c r="D80" s="189">
        <v>7.600000000000005</v>
      </c>
      <c r="E80" s="94">
        <v>0.24499999999999997</v>
      </c>
      <c r="F80" s="95">
        <v>0.38103051131577803</v>
      </c>
      <c r="G80" s="96">
        <f t="shared" si="12"/>
        <v>75.949999999999989</v>
      </c>
      <c r="H80" s="97">
        <f t="shared" si="13"/>
        <v>118.1194585078912</v>
      </c>
      <c r="I80" s="192"/>
      <c r="J80" s="98">
        <f t="shared" si="14"/>
        <v>708716.75104734721</v>
      </c>
      <c r="K80" s="163"/>
      <c r="L80" s="99">
        <v>0.38103051131577803</v>
      </c>
      <c r="M80" s="97">
        <f t="shared" si="15"/>
        <v>118.1194585078912</v>
      </c>
      <c r="N80" s="163"/>
      <c r="O80" s="80">
        <v>7.600000000000005</v>
      </c>
      <c r="P80" s="100">
        <f t="shared" si="16"/>
        <v>118.1194585078912</v>
      </c>
      <c r="Q80" s="98">
        <f t="shared" si="17"/>
        <v>708716.75104734721</v>
      </c>
      <c r="R80" s="163"/>
      <c r="S80" s="163"/>
      <c r="T80" s="163"/>
      <c r="U80" s="163"/>
      <c r="V80" s="163"/>
      <c r="W80" s="163"/>
      <c r="X80" s="163"/>
    </row>
    <row r="81" spans="1:24">
      <c r="A81" s="163"/>
      <c r="B81" s="93">
        <v>71</v>
      </c>
      <c r="C81" s="79">
        <v>7.2449999999999948</v>
      </c>
      <c r="D81" s="189">
        <v>7.680000000000005</v>
      </c>
      <c r="E81" s="94">
        <v>0.24849999999999997</v>
      </c>
      <c r="F81" s="95">
        <v>0.3934993649924366</v>
      </c>
      <c r="G81" s="96">
        <f t="shared" si="12"/>
        <v>77.034999999999997</v>
      </c>
      <c r="H81" s="97">
        <f t="shared" si="13"/>
        <v>121.98480314765534</v>
      </c>
      <c r="I81" s="192"/>
      <c r="J81" s="98">
        <f t="shared" si="14"/>
        <v>731908.81888593209</v>
      </c>
      <c r="K81" s="163"/>
      <c r="L81" s="99">
        <v>0.3934993649924366</v>
      </c>
      <c r="M81" s="97">
        <f t="shared" si="15"/>
        <v>121.98480314765534</v>
      </c>
      <c r="N81" s="163"/>
      <c r="O81" s="80">
        <v>7.680000000000005</v>
      </c>
      <c r="P81" s="100">
        <f t="shared" si="16"/>
        <v>121.98480314765534</v>
      </c>
      <c r="Q81" s="98">
        <f t="shared" si="17"/>
        <v>731908.81888593209</v>
      </c>
      <c r="R81" s="163"/>
      <c r="S81" s="163"/>
      <c r="T81" s="163"/>
      <c r="U81" s="163"/>
      <c r="V81" s="163"/>
      <c r="W81" s="163"/>
      <c r="X81" s="163"/>
    </row>
    <row r="82" spans="1:24">
      <c r="A82" s="163"/>
      <c r="B82" s="93">
        <v>72</v>
      </c>
      <c r="C82" s="79">
        <v>7.3399999999999945</v>
      </c>
      <c r="D82" s="189">
        <v>7.7600000000000051</v>
      </c>
      <c r="E82" s="94">
        <v>0.252</v>
      </c>
      <c r="F82" s="95">
        <v>0.40637624980411652</v>
      </c>
      <c r="G82" s="96">
        <f t="shared" si="12"/>
        <v>78.12</v>
      </c>
      <c r="H82" s="97">
        <f t="shared" si="13"/>
        <v>125.97663743927612</v>
      </c>
      <c r="I82" s="192"/>
      <c r="J82" s="98">
        <f t="shared" si="14"/>
        <v>755859.82463565667</v>
      </c>
      <c r="K82" s="163"/>
      <c r="L82" s="99">
        <v>0.40637624980411652</v>
      </c>
      <c r="M82" s="97">
        <f t="shared" si="15"/>
        <v>125.97663743927612</v>
      </c>
      <c r="N82" s="163"/>
      <c r="O82" s="80">
        <v>7.7600000000000051</v>
      </c>
      <c r="P82" s="100">
        <f t="shared" si="16"/>
        <v>125.97663743927612</v>
      </c>
      <c r="Q82" s="98">
        <f t="shared" si="17"/>
        <v>755859.82463565667</v>
      </c>
      <c r="R82" s="163"/>
      <c r="S82" s="163"/>
      <c r="T82" s="163"/>
      <c r="U82" s="163"/>
      <c r="V82" s="163"/>
      <c r="W82" s="163"/>
      <c r="X82" s="163"/>
    </row>
    <row r="83" spans="1:24">
      <c r="A83" s="163"/>
      <c r="B83" s="93">
        <v>73</v>
      </c>
      <c r="C83" s="79">
        <v>7.4349999999999943</v>
      </c>
      <c r="D83" s="189">
        <v>7.8400000000000052</v>
      </c>
      <c r="E83" s="94">
        <v>0.2555</v>
      </c>
      <c r="F83" s="95">
        <v>0.4196745181737</v>
      </c>
      <c r="G83" s="96">
        <f t="shared" si="12"/>
        <v>79.204999999999998</v>
      </c>
      <c r="H83" s="97">
        <f t="shared" si="13"/>
        <v>130.099100633847</v>
      </c>
      <c r="I83" s="192"/>
      <c r="J83" s="98">
        <f t="shared" si="14"/>
        <v>780594.60380308202</v>
      </c>
      <c r="K83" s="163"/>
      <c r="L83" s="99">
        <v>0.4196745181737</v>
      </c>
      <c r="M83" s="97">
        <f t="shared" si="15"/>
        <v>130.099100633847</v>
      </c>
      <c r="N83" s="163"/>
      <c r="O83" s="80">
        <v>7.8400000000000052</v>
      </c>
      <c r="P83" s="100">
        <f t="shared" si="16"/>
        <v>130.099100633847</v>
      </c>
      <c r="Q83" s="98">
        <f t="shared" si="17"/>
        <v>780594.60380308202</v>
      </c>
      <c r="R83" s="163"/>
      <c r="S83" s="163"/>
      <c r="T83" s="163"/>
      <c r="U83" s="163"/>
      <c r="V83" s="163"/>
      <c r="W83" s="163"/>
      <c r="X83" s="163"/>
    </row>
    <row r="84" spans="1:24">
      <c r="A84" s="163"/>
      <c r="B84" s="93">
        <v>74</v>
      </c>
      <c r="C84" s="79">
        <v>7.529999999999994</v>
      </c>
      <c r="D84" s="189">
        <v>7.9200000000000053</v>
      </c>
      <c r="E84" s="94">
        <v>0.25900000000000001</v>
      </c>
      <c r="F84" s="95">
        <v>0.43340795946914873</v>
      </c>
      <c r="G84" s="96">
        <f t="shared" si="12"/>
        <v>80.290000000000006</v>
      </c>
      <c r="H84" s="97">
        <f t="shared" si="13"/>
        <v>134.35646743543612</v>
      </c>
      <c r="I84" s="192"/>
      <c r="J84" s="98">
        <f t="shared" si="14"/>
        <v>806138.80461261666</v>
      </c>
      <c r="K84" s="163"/>
      <c r="L84" s="99">
        <v>0.43340795946914873</v>
      </c>
      <c r="M84" s="97">
        <f t="shared" si="15"/>
        <v>134.35646743543612</v>
      </c>
      <c r="N84" s="163"/>
      <c r="O84" s="80">
        <v>7.9200000000000053</v>
      </c>
      <c r="P84" s="100">
        <f t="shared" si="16"/>
        <v>134.35646743543612</v>
      </c>
      <c r="Q84" s="98">
        <f t="shared" si="17"/>
        <v>806138.80461261666</v>
      </c>
      <c r="R84" s="163"/>
      <c r="S84" s="163"/>
      <c r="T84" s="163"/>
      <c r="U84" s="163"/>
      <c r="V84" s="163"/>
      <c r="W84" s="163"/>
      <c r="X84" s="163"/>
    </row>
    <row r="85" spans="1:24">
      <c r="A85" s="163"/>
      <c r="B85" s="93">
        <v>75</v>
      </c>
      <c r="C85" s="79">
        <v>7.6249999999999938</v>
      </c>
      <c r="D85" s="189">
        <v>8.0000000000000053</v>
      </c>
      <c r="E85" s="94">
        <v>0.26249999999999996</v>
      </c>
      <c r="F85" s="95">
        <v>0.44759081430210823</v>
      </c>
      <c r="G85" s="96">
        <f t="shared" si="12"/>
        <v>81.374999999999986</v>
      </c>
      <c r="H85" s="97">
        <f t="shared" si="13"/>
        <v>138.75315243365355</v>
      </c>
      <c r="I85" s="192"/>
      <c r="J85" s="98">
        <f t="shared" si="14"/>
        <v>832518.91460192134</v>
      </c>
      <c r="K85" s="163"/>
      <c r="L85" s="99">
        <v>0.44759081430210823</v>
      </c>
      <c r="M85" s="97">
        <f t="shared" si="15"/>
        <v>138.75315243365355</v>
      </c>
      <c r="N85" s="163"/>
      <c r="O85" s="80">
        <v>8.0000000000000053</v>
      </c>
      <c r="P85" s="100">
        <f t="shared" si="16"/>
        <v>138.75315243365355</v>
      </c>
      <c r="Q85" s="98">
        <f t="shared" si="17"/>
        <v>832518.91460192134</v>
      </c>
      <c r="R85" s="163"/>
      <c r="S85" s="163"/>
      <c r="T85" s="163"/>
      <c r="U85" s="163"/>
      <c r="V85" s="163"/>
      <c r="W85" s="163"/>
      <c r="X85" s="163"/>
    </row>
    <row r="86" spans="1:24">
      <c r="A86" s="163"/>
      <c r="B86" s="93">
        <v>76</v>
      </c>
      <c r="C86" s="79">
        <v>7.7199999999999935</v>
      </c>
      <c r="D86" s="189">
        <v>8.0800000000000054</v>
      </c>
      <c r="E86" s="94">
        <v>0.26599999999999996</v>
      </c>
      <c r="F86" s="95">
        <v>0.46223778929441872</v>
      </c>
      <c r="G86" s="96">
        <f t="shared" si="12"/>
        <v>82.46</v>
      </c>
      <c r="H86" s="97">
        <f t="shared" si="13"/>
        <v>143.29371468126979</v>
      </c>
      <c r="I86" s="192"/>
      <c r="J86" s="98">
        <f t="shared" si="14"/>
        <v>859762.28808761877</v>
      </c>
      <c r="K86" s="163"/>
      <c r="L86" s="99">
        <v>0.46223778929441872</v>
      </c>
      <c r="M86" s="97">
        <f t="shared" si="15"/>
        <v>143.29371468126979</v>
      </c>
      <c r="N86" s="163"/>
      <c r="O86" s="80">
        <v>8.0800000000000054</v>
      </c>
      <c r="P86" s="100">
        <f t="shared" si="16"/>
        <v>143.29371468126979</v>
      </c>
      <c r="Q86" s="98">
        <f t="shared" si="17"/>
        <v>859762.28808761877</v>
      </c>
      <c r="R86" s="163"/>
      <c r="S86" s="163"/>
      <c r="T86" s="163"/>
      <c r="U86" s="163"/>
      <c r="V86" s="163"/>
      <c r="W86" s="163"/>
      <c r="X86" s="163"/>
    </row>
    <row r="87" spans="1:24">
      <c r="A87" s="163"/>
      <c r="B87" s="93">
        <v>77</v>
      </c>
      <c r="C87" s="79">
        <v>7.8149999999999933</v>
      </c>
      <c r="D87" s="189">
        <v>8.1600000000000055</v>
      </c>
      <c r="E87" s="94">
        <v>0.26949999999999996</v>
      </c>
      <c r="F87" s="95">
        <v>0.47736407232784672</v>
      </c>
      <c r="G87" s="96">
        <f t="shared" si="12"/>
        <v>83.544999999999987</v>
      </c>
      <c r="H87" s="97">
        <f t="shared" si="13"/>
        <v>147.98286242163249</v>
      </c>
      <c r="I87" s="192"/>
      <c r="J87" s="98">
        <f t="shared" si="14"/>
        <v>887897.17452979495</v>
      </c>
      <c r="K87" s="163"/>
      <c r="L87" s="99">
        <v>0.47736407232784672</v>
      </c>
      <c r="M87" s="97">
        <f t="shared" si="15"/>
        <v>147.98286242163249</v>
      </c>
      <c r="N87" s="163"/>
      <c r="O87" s="80">
        <v>8.1600000000000055</v>
      </c>
      <c r="P87" s="100">
        <f t="shared" si="16"/>
        <v>147.98286242163249</v>
      </c>
      <c r="Q87" s="98">
        <f t="shared" si="17"/>
        <v>887897.17452979495</v>
      </c>
      <c r="R87" s="163"/>
      <c r="S87" s="163"/>
      <c r="T87" s="163"/>
      <c r="U87" s="163"/>
      <c r="V87" s="163"/>
      <c r="W87" s="163"/>
      <c r="X87" s="163"/>
    </row>
    <row r="88" spans="1:24">
      <c r="A88" s="163"/>
      <c r="B88" s="93">
        <v>78</v>
      </c>
      <c r="C88" s="79">
        <v>7.909999999999993</v>
      </c>
      <c r="D88" s="189">
        <v>8.2400000000000055</v>
      </c>
      <c r="E88" s="94">
        <v>0.27299999999999996</v>
      </c>
      <c r="F88" s="95">
        <v>0.49298534829284935</v>
      </c>
      <c r="G88" s="96">
        <f t="shared" si="12"/>
        <v>84.63</v>
      </c>
      <c r="H88" s="97">
        <f t="shared" si="13"/>
        <v>152.8254579707833</v>
      </c>
      <c r="I88" s="192"/>
      <c r="J88" s="98">
        <f t="shared" si="14"/>
        <v>916952.74782469985</v>
      </c>
      <c r="K88" s="163"/>
      <c r="L88" s="99">
        <v>0.49298534829284935</v>
      </c>
      <c r="M88" s="97">
        <f t="shared" si="15"/>
        <v>152.8254579707833</v>
      </c>
      <c r="N88" s="163"/>
      <c r="O88" s="80">
        <v>8.2400000000000055</v>
      </c>
      <c r="P88" s="100">
        <f t="shared" si="16"/>
        <v>152.8254579707833</v>
      </c>
      <c r="Q88" s="98">
        <f t="shared" si="17"/>
        <v>916952.74782469985</v>
      </c>
      <c r="R88" s="163"/>
      <c r="S88" s="163"/>
      <c r="T88" s="163"/>
      <c r="U88" s="163"/>
      <c r="V88" s="163"/>
      <c r="W88" s="163"/>
      <c r="X88" s="163"/>
    </row>
    <row r="89" spans="1:24">
      <c r="A89" s="163"/>
      <c r="B89" s="93">
        <v>79</v>
      </c>
      <c r="C89" s="79">
        <v>8.0049999999999937</v>
      </c>
      <c r="D89" s="189">
        <v>8.3200000000000056</v>
      </c>
      <c r="E89" s="94">
        <v>0.27649999999999997</v>
      </c>
      <c r="F89" s="95">
        <v>0.50911781535270073</v>
      </c>
      <c r="G89" s="96">
        <f t="shared" si="12"/>
        <v>85.714999999999989</v>
      </c>
      <c r="H89" s="97">
        <f t="shared" si="13"/>
        <v>157.82652275933722</v>
      </c>
      <c r="I89" s="192"/>
      <c r="J89" s="98">
        <f t="shared" si="14"/>
        <v>946959.13655602338</v>
      </c>
      <c r="K89" s="163"/>
      <c r="L89" s="99">
        <v>0.50911781535270073</v>
      </c>
      <c r="M89" s="97">
        <f t="shared" si="15"/>
        <v>157.82652275933722</v>
      </c>
      <c r="N89" s="163"/>
      <c r="O89" s="80">
        <v>8.3200000000000056</v>
      </c>
      <c r="P89" s="100">
        <f t="shared" si="16"/>
        <v>157.82652275933722</v>
      </c>
      <c r="Q89" s="98">
        <f t="shared" si="17"/>
        <v>946959.13655602338</v>
      </c>
      <c r="R89" s="163"/>
      <c r="S89" s="163"/>
      <c r="T89" s="163"/>
      <c r="U89" s="163"/>
      <c r="V89" s="163"/>
      <c r="W89" s="163"/>
      <c r="X89" s="163"/>
    </row>
    <row r="90" spans="1:24">
      <c r="A90" s="163"/>
      <c r="B90" s="93">
        <v>80</v>
      </c>
      <c r="C90" s="79">
        <v>8.0999999999999943</v>
      </c>
      <c r="D90" s="189">
        <v>8.4000000000000057</v>
      </c>
      <c r="E90" s="94">
        <v>0.27999999999999997</v>
      </c>
      <c r="F90" s="95">
        <v>0.52577820173984757</v>
      </c>
      <c r="G90" s="96">
        <f t="shared" si="12"/>
        <v>86.8</v>
      </c>
      <c r="H90" s="97">
        <f t="shared" si="13"/>
        <v>162.99124253935275</v>
      </c>
      <c r="I90" s="192"/>
      <c r="J90" s="98">
        <f t="shared" si="14"/>
        <v>977947.45523611654</v>
      </c>
      <c r="K90" s="163"/>
      <c r="L90" s="99">
        <v>0.52577820173984757</v>
      </c>
      <c r="M90" s="97">
        <f t="shared" si="15"/>
        <v>162.99124253935275</v>
      </c>
      <c r="N90" s="163"/>
      <c r="O90" s="80">
        <v>8.4000000000000057</v>
      </c>
      <c r="P90" s="100">
        <f t="shared" si="16"/>
        <v>162.99124253935275</v>
      </c>
      <c r="Q90" s="98">
        <f t="shared" si="17"/>
        <v>977947.45523611654</v>
      </c>
      <c r="R90" s="163"/>
      <c r="S90" s="163"/>
      <c r="T90" s="163"/>
      <c r="U90" s="163"/>
      <c r="V90" s="163"/>
      <c r="W90" s="163"/>
      <c r="X90" s="163"/>
    </row>
    <row r="91" spans="1:24">
      <c r="A91" s="163"/>
      <c r="B91" s="93">
        <v>81</v>
      </c>
      <c r="C91" s="79">
        <v>8.194999999999995</v>
      </c>
      <c r="D91" s="189">
        <v>8.4800000000000058</v>
      </c>
      <c r="E91" s="94">
        <v>0.28349999999999997</v>
      </c>
      <c r="F91" s="95">
        <v>0.54298378310190742</v>
      </c>
      <c r="G91" s="96">
        <f t="shared" si="12"/>
        <v>87.884999999999991</v>
      </c>
      <c r="H91" s="97">
        <f t="shared" si="13"/>
        <v>168.32497276159131</v>
      </c>
      <c r="I91" s="192"/>
      <c r="J91" s="98">
        <f t="shared" si="14"/>
        <v>1009949.8365695479</v>
      </c>
      <c r="K91" s="163"/>
      <c r="L91" s="99">
        <v>0.54298378310190742</v>
      </c>
      <c r="M91" s="97">
        <f t="shared" si="15"/>
        <v>168.32497276159131</v>
      </c>
      <c r="N91" s="163"/>
      <c r="O91" s="80">
        <v>8.4800000000000058</v>
      </c>
      <c r="P91" s="100">
        <f t="shared" si="16"/>
        <v>168.32497276159131</v>
      </c>
      <c r="Q91" s="98">
        <f t="shared" si="17"/>
        <v>1009949.8365695479</v>
      </c>
      <c r="R91" s="163"/>
      <c r="S91" s="163"/>
      <c r="T91" s="163"/>
      <c r="U91" s="163"/>
      <c r="V91" s="163"/>
      <c r="W91" s="163"/>
      <c r="X91" s="163"/>
    </row>
    <row r="92" spans="1:24">
      <c r="A92" s="163"/>
      <c r="B92" s="93">
        <v>82</v>
      </c>
      <c r="C92" s="79">
        <v>8.2899999999999956</v>
      </c>
      <c r="D92" s="189">
        <v>8.5600000000000058</v>
      </c>
      <c r="E92" s="94">
        <v>0.28699999999999998</v>
      </c>
      <c r="F92" s="95">
        <v>0.5607524004152995</v>
      </c>
      <c r="G92" s="96">
        <f t="shared" si="12"/>
        <v>88.97</v>
      </c>
      <c r="H92" s="97">
        <f t="shared" si="13"/>
        <v>173.83324412874285</v>
      </c>
      <c r="I92" s="192"/>
      <c r="J92" s="98">
        <f t="shared" si="14"/>
        <v>1042999.464772457</v>
      </c>
      <c r="K92" s="163"/>
      <c r="L92" s="99">
        <v>0.5607524004152995</v>
      </c>
      <c r="M92" s="97">
        <f t="shared" si="15"/>
        <v>173.83324412874285</v>
      </c>
      <c r="N92" s="163"/>
      <c r="O92" s="80">
        <v>8.5600000000000058</v>
      </c>
      <c r="P92" s="100">
        <f t="shared" si="16"/>
        <v>173.83324412874285</v>
      </c>
      <c r="Q92" s="98">
        <f t="shared" si="17"/>
        <v>1042999.464772457</v>
      </c>
      <c r="R92" s="163"/>
      <c r="S92" s="163"/>
      <c r="T92" s="163"/>
      <c r="U92" s="163"/>
      <c r="V92" s="163"/>
      <c r="W92" s="163"/>
      <c r="X92" s="163"/>
    </row>
    <row r="93" spans="1:24">
      <c r="A93" s="163"/>
      <c r="B93" s="93">
        <v>83</v>
      </c>
      <c r="C93" s="79">
        <v>8.3849999999999962</v>
      </c>
      <c r="D93" s="189">
        <v>8.6400000000000059</v>
      </c>
      <c r="E93" s="94">
        <v>0.29049999999999998</v>
      </c>
      <c r="F93" s="95">
        <v>0.57910247848508134</v>
      </c>
      <c r="G93" s="96">
        <f t="shared" si="12"/>
        <v>90.054999999999993</v>
      </c>
      <c r="H93" s="97">
        <f t="shared" si="13"/>
        <v>179.52176833037521</v>
      </c>
      <c r="I93" s="192"/>
      <c r="J93" s="98">
        <f t="shared" si="14"/>
        <v>1077130.6099822514</v>
      </c>
      <c r="K93" s="163"/>
      <c r="L93" s="99">
        <v>0.57910247848508134</v>
      </c>
      <c r="M93" s="97">
        <f t="shared" si="15"/>
        <v>179.52176833037521</v>
      </c>
      <c r="N93" s="163"/>
      <c r="O93" s="80">
        <v>8.6400000000000059</v>
      </c>
      <c r="P93" s="100">
        <f t="shared" si="16"/>
        <v>179.52176833037521</v>
      </c>
      <c r="Q93" s="98">
        <f t="shared" si="17"/>
        <v>1077130.6099822514</v>
      </c>
      <c r="R93" s="163"/>
      <c r="S93" s="163"/>
      <c r="T93" s="163"/>
      <c r="U93" s="163"/>
      <c r="V93" s="163"/>
      <c r="W93" s="163"/>
      <c r="X93" s="163"/>
    </row>
    <row r="94" spans="1:24">
      <c r="A94" s="163"/>
      <c r="B94" s="93">
        <v>84</v>
      </c>
      <c r="C94" s="79">
        <v>8.4799999999999969</v>
      </c>
      <c r="D94" s="189">
        <v>8.720000000000006</v>
      </c>
      <c r="E94" s="94">
        <v>0.29399999999999998</v>
      </c>
      <c r="F94" s="95">
        <v>0.59805304505017365</v>
      </c>
      <c r="G94" s="96">
        <f t="shared" si="12"/>
        <v>91.14</v>
      </c>
      <c r="H94" s="97">
        <f t="shared" si="13"/>
        <v>185.39644396555383</v>
      </c>
      <c r="I94" s="192"/>
      <c r="J94" s="98">
        <f t="shared" si="14"/>
        <v>1112378.6637933231</v>
      </c>
      <c r="K94" s="163"/>
      <c r="L94" s="99">
        <v>0.59805304505017365</v>
      </c>
      <c r="M94" s="97">
        <f t="shared" si="15"/>
        <v>185.39644396555383</v>
      </c>
      <c r="N94" s="163"/>
      <c r="O94" s="80">
        <v>8.720000000000006</v>
      </c>
      <c r="P94" s="100">
        <f t="shared" si="16"/>
        <v>185.39644396555383</v>
      </c>
      <c r="Q94" s="98">
        <f t="shared" si="17"/>
        <v>1112378.6637933231</v>
      </c>
      <c r="R94" s="163"/>
      <c r="S94" s="163"/>
      <c r="T94" s="163"/>
      <c r="U94" s="163"/>
      <c r="V94" s="163"/>
      <c r="W94" s="163"/>
      <c r="X94" s="163"/>
    </row>
    <row r="95" spans="1:24">
      <c r="A95" s="163"/>
      <c r="B95" s="93">
        <v>85</v>
      </c>
      <c r="C95" s="79">
        <v>8.5749999999999975</v>
      </c>
      <c r="D95" s="189">
        <v>8.800000000000006</v>
      </c>
      <c r="E95" s="94">
        <v>0.29749999999999999</v>
      </c>
      <c r="F95" s="95">
        <v>0.61762375051378615</v>
      </c>
      <c r="G95" s="96">
        <f t="shared" si="12"/>
        <v>92.224999999999994</v>
      </c>
      <c r="H95" s="97">
        <f t="shared" si="13"/>
        <v>191.46336265927371</v>
      </c>
      <c r="I95" s="192"/>
      <c r="J95" s="98">
        <f t="shared" si="14"/>
        <v>1148780.1759556422</v>
      </c>
      <c r="K95" s="163"/>
      <c r="L95" s="99">
        <v>0.61762375051378615</v>
      </c>
      <c r="M95" s="97">
        <f t="shared" si="15"/>
        <v>191.46336265927371</v>
      </c>
      <c r="N95" s="163"/>
      <c r="O95" s="80">
        <v>8.800000000000006</v>
      </c>
      <c r="P95" s="100">
        <f t="shared" si="16"/>
        <v>191.46336265927371</v>
      </c>
      <c r="Q95" s="98">
        <f t="shared" si="17"/>
        <v>1148780.1759556422</v>
      </c>
      <c r="R95" s="163"/>
      <c r="S95" s="163"/>
      <c r="T95" s="163"/>
      <c r="U95" s="163"/>
      <c r="V95" s="163"/>
      <c r="W95" s="163"/>
      <c r="X95" s="163"/>
    </row>
    <row r="96" spans="1:24">
      <c r="A96" s="163"/>
      <c r="B96" s="93">
        <v>86</v>
      </c>
      <c r="C96" s="79">
        <v>8.6699999999999982</v>
      </c>
      <c r="D96" s="189">
        <v>8.8800000000000061</v>
      </c>
      <c r="E96" s="94">
        <v>0.30099999999999999</v>
      </c>
      <c r="F96" s="95">
        <v>0.63783488831950186</v>
      </c>
      <c r="G96" s="96">
        <f t="shared" si="12"/>
        <v>93.31</v>
      </c>
      <c r="H96" s="97">
        <f t="shared" si="13"/>
        <v>197.72881537904559</v>
      </c>
      <c r="I96" s="192"/>
      <c r="J96" s="98">
        <f t="shared" si="14"/>
        <v>1186372.8922742736</v>
      </c>
      <c r="K96" s="163"/>
      <c r="L96" s="99">
        <v>0.63783488831950186</v>
      </c>
      <c r="M96" s="97">
        <f t="shared" si="15"/>
        <v>197.72881537904559</v>
      </c>
      <c r="N96" s="163"/>
      <c r="O96" s="80">
        <v>8.8800000000000061</v>
      </c>
      <c r="P96" s="100">
        <f t="shared" si="16"/>
        <v>197.72881537904559</v>
      </c>
      <c r="Q96" s="98">
        <f t="shared" si="17"/>
        <v>1186372.8922742736</v>
      </c>
      <c r="R96" s="163"/>
      <c r="S96" s="163"/>
      <c r="T96" s="163"/>
      <c r="U96" s="163"/>
      <c r="V96" s="163"/>
      <c r="W96" s="163"/>
      <c r="X96" s="163"/>
    </row>
    <row r="97" spans="1:24">
      <c r="A97" s="163"/>
      <c r="B97" s="93">
        <v>87</v>
      </c>
      <c r="C97" s="79">
        <v>8.7649999999999988</v>
      </c>
      <c r="D97" s="189">
        <v>8.9600000000000062</v>
      </c>
      <c r="E97" s="94">
        <v>0.30449999999999999</v>
      </c>
      <c r="F97" s="95">
        <v>0.65870741599414973</v>
      </c>
      <c r="G97" s="96">
        <f t="shared" si="12"/>
        <v>94.394999999999996</v>
      </c>
      <c r="H97" s="97">
        <f t="shared" si="13"/>
        <v>204.1992989581864</v>
      </c>
      <c r="I97" s="192"/>
      <c r="J97" s="98">
        <f t="shared" si="14"/>
        <v>1225195.7937491185</v>
      </c>
      <c r="K97" s="163"/>
      <c r="L97" s="99">
        <v>0.65870741599414973</v>
      </c>
      <c r="M97" s="97">
        <f t="shared" si="15"/>
        <v>204.1992989581864</v>
      </c>
      <c r="N97" s="163"/>
      <c r="O97" s="80">
        <v>8.9600000000000062</v>
      </c>
      <c r="P97" s="100">
        <f t="shared" si="16"/>
        <v>204.1992989581864</v>
      </c>
      <c r="Q97" s="98">
        <f t="shared" si="17"/>
        <v>1225195.7937491185</v>
      </c>
      <c r="R97" s="163"/>
      <c r="S97" s="163"/>
      <c r="T97" s="163"/>
      <c r="U97" s="163"/>
      <c r="V97" s="163"/>
      <c r="W97" s="163"/>
      <c r="X97" s="163"/>
    </row>
    <row r="98" spans="1:24">
      <c r="A98" s="163"/>
      <c r="B98" s="93">
        <v>88</v>
      </c>
      <c r="C98" s="79">
        <v>8.86</v>
      </c>
      <c r="D98" s="189">
        <v>9.0400000000000063</v>
      </c>
      <c r="E98" s="94">
        <v>0.308</v>
      </c>
      <c r="F98" s="95">
        <v>0.68026297687928361</v>
      </c>
      <c r="G98" s="96">
        <f t="shared" si="12"/>
        <v>95.48</v>
      </c>
      <c r="H98" s="97">
        <f t="shared" si="13"/>
        <v>210.88152283257793</v>
      </c>
      <c r="I98" s="192"/>
      <c r="J98" s="98">
        <f t="shared" si="14"/>
        <v>1265289.1369954676</v>
      </c>
      <c r="K98" s="163"/>
      <c r="L98" s="99">
        <v>0.68026297687928361</v>
      </c>
      <c r="M98" s="97">
        <f t="shared" si="15"/>
        <v>210.88152283257793</v>
      </c>
      <c r="N98" s="163"/>
      <c r="O98" s="80">
        <v>9.0400000000000063</v>
      </c>
      <c r="P98" s="100">
        <f t="shared" si="16"/>
        <v>210.88152283257793</v>
      </c>
      <c r="Q98" s="98">
        <f t="shared" si="17"/>
        <v>1265289.1369954676</v>
      </c>
      <c r="R98" s="163"/>
      <c r="S98" s="163"/>
      <c r="T98" s="163"/>
      <c r="U98" s="163"/>
      <c r="V98" s="163"/>
      <c r="W98" s="163"/>
      <c r="X98" s="163"/>
    </row>
    <row r="99" spans="1:24">
      <c r="A99" s="163"/>
      <c r="B99" s="93">
        <v>89</v>
      </c>
      <c r="C99" s="79">
        <v>8.9550000000000001</v>
      </c>
      <c r="D99" s="189">
        <v>9.1200000000000063</v>
      </c>
      <c r="E99" s="94">
        <v>0.3115</v>
      </c>
      <c r="F99" s="95">
        <v>0.70252392257380425</v>
      </c>
      <c r="G99" s="96">
        <f t="shared" si="12"/>
        <v>96.564999999999998</v>
      </c>
      <c r="H99" s="97">
        <f t="shared" si="13"/>
        <v>217.78241599787933</v>
      </c>
      <c r="I99" s="192"/>
      <c r="J99" s="98">
        <f t="shared" si="14"/>
        <v>1306694.4959872761</v>
      </c>
      <c r="K99" s="163"/>
      <c r="L99" s="99">
        <v>0.70252392257380425</v>
      </c>
      <c r="M99" s="97">
        <f t="shared" si="15"/>
        <v>217.78241599787933</v>
      </c>
      <c r="N99" s="163"/>
      <c r="O99" s="80">
        <v>9.1200000000000063</v>
      </c>
      <c r="P99" s="100">
        <f t="shared" si="16"/>
        <v>217.78241599787933</v>
      </c>
      <c r="Q99" s="98">
        <f t="shared" si="17"/>
        <v>1306694.4959872761</v>
      </c>
      <c r="R99" s="163"/>
      <c r="S99" s="163"/>
      <c r="T99" s="163"/>
      <c r="U99" s="163"/>
      <c r="V99" s="163"/>
      <c r="W99" s="163"/>
      <c r="X99" s="163"/>
    </row>
    <row r="100" spans="1:24">
      <c r="A100" s="163"/>
      <c r="B100" s="93">
        <v>90</v>
      </c>
      <c r="C100" s="79">
        <v>9.0500000000000007</v>
      </c>
      <c r="D100" s="189">
        <v>9.2000000000000064</v>
      </c>
      <c r="E100" s="94">
        <v>0.315</v>
      </c>
      <c r="F100" s="95">
        <v>0.72551333611099345</v>
      </c>
      <c r="G100" s="96">
        <f t="shared" si="12"/>
        <v>97.65</v>
      </c>
      <c r="H100" s="97">
        <f t="shared" si="13"/>
        <v>224.90913419440795</v>
      </c>
      <c r="I100" s="192"/>
      <c r="J100" s="98">
        <f t="shared" si="14"/>
        <v>1349454.8051664478</v>
      </c>
      <c r="K100" s="163"/>
      <c r="L100" s="99">
        <v>0.72551333611099345</v>
      </c>
      <c r="M100" s="97">
        <f t="shared" si="15"/>
        <v>224.90913419440795</v>
      </c>
      <c r="N100" s="163"/>
      <c r="O100" s="80">
        <v>9.2000000000000064</v>
      </c>
      <c r="P100" s="100">
        <f t="shared" si="16"/>
        <v>224.90913419440795</v>
      </c>
      <c r="Q100" s="98">
        <f t="shared" si="17"/>
        <v>1349454.8051664478</v>
      </c>
      <c r="R100" s="163"/>
      <c r="S100" s="163"/>
      <c r="T100" s="163"/>
      <c r="U100" s="163"/>
      <c r="V100" s="163"/>
      <c r="W100" s="163"/>
      <c r="X100" s="163"/>
    </row>
    <row r="101" spans="1:24">
      <c r="A101" s="163"/>
      <c r="B101" s="93">
        <v>91</v>
      </c>
      <c r="C101" s="79">
        <v>9.1450000000000014</v>
      </c>
      <c r="D101" s="189">
        <v>9.2800000000000065</v>
      </c>
      <c r="E101" s="94">
        <v>0.31850000000000001</v>
      </c>
      <c r="F101" s="95">
        <v>0.74925505589399333</v>
      </c>
      <c r="G101" s="96">
        <f t="shared" si="12"/>
        <v>98.734999999999999</v>
      </c>
      <c r="H101" s="97">
        <f t="shared" si="13"/>
        <v>232.26906732713792</v>
      </c>
      <c r="I101" s="192"/>
      <c r="J101" s="98">
        <f t="shared" si="14"/>
        <v>1393614.4039628275</v>
      </c>
      <c r="K101" s="163"/>
      <c r="L101" s="99">
        <v>0.74925505589399333</v>
      </c>
      <c r="M101" s="97">
        <f t="shared" si="15"/>
        <v>232.26906732713792</v>
      </c>
      <c r="N101" s="163"/>
      <c r="O101" s="80">
        <v>9.2800000000000065</v>
      </c>
      <c r="P101" s="100">
        <f t="shared" si="16"/>
        <v>232.26906732713792</v>
      </c>
      <c r="Q101" s="98">
        <f t="shared" si="17"/>
        <v>1393614.4039628275</v>
      </c>
      <c r="R101" s="163"/>
      <c r="S101" s="163"/>
      <c r="T101" s="163"/>
      <c r="U101" s="163"/>
      <c r="V101" s="163"/>
      <c r="W101" s="163"/>
      <c r="X101" s="163"/>
    </row>
    <row r="102" spans="1:24">
      <c r="A102" s="163"/>
      <c r="B102" s="93">
        <v>92</v>
      </c>
      <c r="C102" s="79">
        <v>9.240000000000002</v>
      </c>
      <c r="D102" s="189">
        <v>9.3600000000000065</v>
      </c>
      <c r="E102" s="94">
        <v>0.32200000000000001</v>
      </c>
      <c r="F102" s="95">
        <v>0.77377370041455362</v>
      </c>
      <c r="G102" s="96">
        <f t="shared" si="12"/>
        <v>99.820000000000007</v>
      </c>
      <c r="H102" s="97">
        <f t="shared" si="13"/>
        <v>239.86984712851162</v>
      </c>
      <c r="I102" s="192"/>
      <c r="J102" s="98">
        <f t="shared" si="14"/>
        <v>1439219.0827710696</v>
      </c>
      <c r="K102" s="163"/>
      <c r="L102" s="99">
        <v>0.77377370041455362</v>
      </c>
      <c r="M102" s="97">
        <f t="shared" si="15"/>
        <v>239.86984712851162</v>
      </c>
      <c r="N102" s="163"/>
      <c r="O102" s="80">
        <v>9.3600000000000065</v>
      </c>
      <c r="P102" s="100">
        <f t="shared" si="16"/>
        <v>239.86984712851162</v>
      </c>
      <c r="Q102" s="98">
        <f t="shared" si="17"/>
        <v>1439219.0827710696</v>
      </c>
      <c r="R102" s="163"/>
      <c r="S102" s="163"/>
      <c r="T102" s="163"/>
      <c r="U102" s="163"/>
      <c r="V102" s="163"/>
      <c r="W102" s="163"/>
      <c r="X102" s="163"/>
    </row>
    <row r="103" spans="1:24">
      <c r="A103" s="163"/>
      <c r="B103" s="93">
        <v>93</v>
      </c>
      <c r="C103" s="79">
        <v>9.3350000000000026</v>
      </c>
      <c r="D103" s="189">
        <v>9.4400000000000066</v>
      </c>
      <c r="E103" s="94">
        <v>0.32550000000000001</v>
      </c>
      <c r="F103" s="95">
        <v>0.79909469378067277</v>
      </c>
      <c r="G103" s="96">
        <f t="shared" si="12"/>
        <v>100.905</v>
      </c>
      <c r="H103" s="97">
        <f t="shared" si="13"/>
        <v>247.71935507200857</v>
      </c>
      <c r="I103" s="192"/>
      <c r="J103" s="98">
        <f t="shared" si="14"/>
        <v>1486316.1304320516</v>
      </c>
      <c r="K103" s="163"/>
      <c r="L103" s="99">
        <v>0.79909469378067277</v>
      </c>
      <c r="M103" s="97">
        <f t="shared" si="15"/>
        <v>247.71935507200857</v>
      </c>
      <c r="N103" s="163"/>
      <c r="O103" s="80">
        <v>9.4400000000000066</v>
      </c>
      <c r="P103" s="100">
        <f t="shared" si="16"/>
        <v>247.71935507200857</v>
      </c>
      <c r="Q103" s="98">
        <f t="shared" si="17"/>
        <v>1486316.1304320516</v>
      </c>
      <c r="R103" s="163"/>
      <c r="S103" s="163"/>
      <c r="T103" s="163"/>
      <c r="U103" s="163"/>
      <c r="V103" s="163"/>
      <c r="W103" s="163"/>
      <c r="X103" s="163"/>
    </row>
    <row r="104" spans="1:24">
      <c r="A104" s="163"/>
      <c r="B104" s="93">
        <v>94</v>
      </c>
      <c r="C104" s="79">
        <v>9.4300000000000033</v>
      </c>
      <c r="D104" s="189">
        <v>9.5200000000000067</v>
      </c>
      <c r="E104" s="94">
        <v>0.32899999999999996</v>
      </c>
      <c r="F104" s="95">
        <v>0.82524429207960814</v>
      </c>
      <c r="G104" s="96">
        <f t="shared" si="12"/>
        <v>101.98999999999998</v>
      </c>
      <c r="H104" s="97">
        <f t="shared" si="13"/>
        <v>255.82573054467852</v>
      </c>
      <c r="I104" s="192"/>
      <c r="J104" s="98">
        <f t="shared" si="14"/>
        <v>1534954.3832680711</v>
      </c>
      <c r="K104" s="163"/>
      <c r="L104" s="99">
        <v>0.82524429207960814</v>
      </c>
      <c r="M104" s="97">
        <f t="shared" si="15"/>
        <v>255.82573054467852</v>
      </c>
      <c r="N104" s="163"/>
      <c r="O104" s="80">
        <v>9.5200000000000067</v>
      </c>
      <c r="P104" s="100">
        <f t="shared" si="16"/>
        <v>255.82573054467852</v>
      </c>
      <c r="Q104" s="98">
        <f t="shared" si="17"/>
        <v>1534954.3832680711</v>
      </c>
      <c r="R104" s="163"/>
      <c r="S104" s="163"/>
      <c r="T104" s="163"/>
      <c r="U104" s="163"/>
      <c r="V104" s="163"/>
      <c r="W104" s="163"/>
      <c r="X104" s="163"/>
    </row>
    <row r="105" spans="1:24">
      <c r="A105" s="163"/>
      <c r="B105" s="93">
        <v>95</v>
      </c>
      <c r="C105" s="79">
        <v>9.5250000000000039</v>
      </c>
      <c r="D105" s="189">
        <v>9.6000000000000068</v>
      </c>
      <c r="E105" s="94">
        <v>0.33249999999999996</v>
      </c>
      <c r="F105" s="95">
        <v>0.85224961060359028</v>
      </c>
      <c r="G105" s="96">
        <f t="shared" si="12"/>
        <v>103.07499999999999</v>
      </c>
      <c r="H105" s="97">
        <f t="shared" si="13"/>
        <v>264.19737928711299</v>
      </c>
      <c r="I105" s="192"/>
      <c r="J105" s="98">
        <f t="shared" si="14"/>
        <v>1585184.2757226781</v>
      </c>
      <c r="K105" s="163"/>
      <c r="L105" s="99">
        <v>0.85224961060359028</v>
      </c>
      <c r="M105" s="97">
        <f t="shared" si="15"/>
        <v>264.19737928711299</v>
      </c>
      <c r="N105" s="163"/>
      <c r="O105" s="80">
        <v>9.6000000000000068</v>
      </c>
      <c r="P105" s="100">
        <f t="shared" si="16"/>
        <v>264.19737928711299</v>
      </c>
      <c r="Q105" s="98">
        <f t="shared" si="17"/>
        <v>1585184.2757226781</v>
      </c>
      <c r="R105" s="163"/>
      <c r="S105" s="163"/>
      <c r="T105" s="163"/>
      <c r="U105" s="163"/>
      <c r="V105" s="163"/>
      <c r="W105" s="163"/>
      <c r="X105" s="163"/>
    </row>
    <row r="106" spans="1:24">
      <c r="A106" s="163"/>
      <c r="B106" s="93">
        <v>96</v>
      </c>
      <c r="C106" s="79">
        <v>9.6200000000000045</v>
      </c>
      <c r="D106" s="189">
        <v>9.6800000000000068</v>
      </c>
      <c r="E106" s="94">
        <v>0.33599999999999997</v>
      </c>
      <c r="F106" s="95">
        <v>0.88013865196647134</v>
      </c>
      <c r="G106" s="96">
        <f t="shared" si="12"/>
        <v>104.15999999999998</v>
      </c>
      <c r="H106" s="97">
        <f t="shared" si="13"/>
        <v>272.84298210960611</v>
      </c>
      <c r="I106" s="192"/>
      <c r="J106" s="98">
        <f t="shared" si="14"/>
        <v>1637057.8926576369</v>
      </c>
      <c r="K106" s="163"/>
      <c r="L106" s="99">
        <v>0.88013865196647134</v>
      </c>
      <c r="M106" s="97">
        <f t="shared" si="15"/>
        <v>272.84298210960611</v>
      </c>
      <c r="N106" s="163"/>
      <c r="O106" s="80">
        <v>9.6800000000000068</v>
      </c>
      <c r="P106" s="100">
        <f t="shared" si="16"/>
        <v>272.84298210960611</v>
      </c>
      <c r="Q106" s="98">
        <f t="shared" si="17"/>
        <v>1637057.8926576369</v>
      </c>
      <c r="R106" s="163"/>
      <c r="S106" s="163"/>
      <c r="T106" s="163"/>
      <c r="U106" s="163"/>
      <c r="V106" s="163"/>
      <c r="W106" s="163"/>
      <c r="X106" s="163"/>
    </row>
    <row r="107" spans="1:24">
      <c r="A107" s="163"/>
      <c r="B107" s="93">
        <v>97</v>
      </c>
      <c r="C107" s="79">
        <v>9.7150000000000052</v>
      </c>
      <c r="D107" s="189">
        <v>9.7600000000000069</v>
      </c>
      <c r="E107" s="94">
        <v>0.33949999999999997</v>
      </c>
      <c r="F107" s="95">
        <v>0.90894033514046402</v>
      </c>
      <c r="G107" s="96">
        <f t="shared" si="12"/>
        <v>105.24499999999999</v>
      </c>
      <c r="H107" s="97">
        <f t="shared" si="13"/>
        <v>281.77150389354387</v>
      </c>
      <c r="I107" s="192"/>
      <c r="J107" s="98">
        <f t="shared" si="14"/>
        <v>1690629.0233612631</v>
      </c>
      <c r="K107" s="163"/>
      <c r="L107" s="99">
        <v>0.90894033514046402</v>
      </c>
      <c r="M107" s="97">
        <f t="shared" si="15"/>
        <v>281.77150389354387</v>
      </c>
      <c r="N107" s="163"/>
      <c r="O107" s="80">
        <v>9.7600000000000069</v>
      </c>
      <c r="P107" s="100">
        <f t="shared" si="16"/>
        <v>281.77150389354387</v>
      </c>
      <c r="Q107" s="98">
        <f t="shared" si="17"/>
        <v>1690629.0233612631</v>
      </c>
      <c r="R107" s="163"/>
      <c r="S107" s="163"/>
      <c r="T107" s="163"/>
      <c r="U107" s="163"/>
      <c r="V107" s="163"/>
      <c r="W107" s="163"/>
      <c r="X107" s="163"/>
    </row>
    <row r="108" spans="1:24">
      <c r="A108" s="163"/>
      <c r="B108" s="93">
        <v>98</v>
      </c>
      <c r="C108" s="79">
        <v>9.8100000000000058</v>
      </c>
      <c r="D108" s="189">
        <v>9.840000000000007</v>
      </c>
      <c r="E108" s="94">
        <v>0.34299999999999997</v>
      </c>
      <c r="F108" s="95">
        <v>0.9386845254430799</v>
      </c>
      <c r="G108" s="96">
        <f t="shared" si="12"/>
        <v>106.32999999999998</v>
      </c>
      <c r="H108" s="97">
        <f t="shared" si="13"/>
        <v>290.99220288735478</v>
      </c>
      <c r="I108" s="192"/>
      <c r="J108" s="98">
        <f t="shared" si="14"/>
        <v>1745953.2173241286</v>
      </c>
      <c r="K108" s="163"/>
      <c r="L108" s="99">
        <v>0.9386845254430799</v>
      </c>
      <c r="M108" s="97">
        <f t="shared" si="15"/>
        <v>290.99220288735478</v>
      </c>
      <c r="N108" s="163"/>
      <c r="O108" s="80">
        <v>9.840000000000007</v>
      </c>
      <c r="P108" s="100">
        <f t="shared" si="16"/>
        <v>290.99220288735478</v>
      </c>
      <c r="Q108" s="98">
        <f t="shared" si="17"/>
        <v>1745953.2173241286</v>
      </c>
      <c r="R108" s="163"/>
      <c r="S108" s="163"/>
      <c r="T108" s="163"/>
      <c r="U108" s="163"/>
      <c r="V108" s="163"/>
      <c r="W108" s="163"/>
      <c r="X108" s="163"/>
    </row>
    <row r="109" spans="1:24">
      <c r="A109" s="163"/>
      <c r="B109" s="93">
        <v>99</v>
      </c>
      <c r="C109" s="79">
        <v>9.9050000000000065</v>
      </c>
      <c r="D109" s="189">
        <v>9.920000000000007</v>
      </c>
      <c r="E109" s="94">
        <v>0.34649999999999997</v>
      </c>
      <c r="F109" s="95">
        <v>0.9694020655053599</v>
      </c>
      <c r="G109" s="96">
        <f t="shared" si="12"/>
        <v>107.41499999999999</v>
      </c>
      <c r="H109" s="97">
        <f t="shared" si="13"/>
        <v>300.51464030666159</v>
      </c>
      <c r="I109" s="192"/>
      <c r="J109" s="98">
        <f t="shared" si="14"/>
        <v>1803087.8418399696</v>
      </c>
      <c r="K109" s="163"/>
      <c r="L109" s="99">
        <v>0.9694020655053599</v>
      </c>
      <c r="M109" s="97">
        <f t="shared" si="15"/>
        <v>300.51464030666159</v>
      </c>
      <c r="N109" s="163"/>
      <c r="O109" s="80">
        <v>9.920000000000007</v>
      </c>
      <c r="P109" s="100">
        <f t="shared" si="16"/>
        <v>300.51464030666159</v>
      </c>
      <c r="Q109" s="98">
        <f t="shared" si="17"/>
        <v>1803087.8418399696</v>
      </c>
      <c r="R109" s="163"/>
      <c r="S109" s="163"/>
      <c r="T109" s="163"/>
      <c r="U109" s="163"/>
      <c r="V109" s="163"/>
      <c r="W109" s="163"/>
      <c r="X109" s="163"/>
    </row>
    <row r="110" spans="1:24">
      <c r="A110" s="163"/>
      <c r="B110" s="93">
        <v>100</v>
      </c>
      <c r="C110" s="79">
        <v>10</v>
      </c>
      <c r="D110" s="189">
        <v>10</v>
      </c>
      <c r="E110" s="94">
        <v>0.35</v>
      </c>
      <c r="F110" s="95">
        <v>1.0011248072535126</v>
      </c>
      <c r="G110" s="96">
        <f t="shared" si="12"/>
        <v>108.5</v>
      </c>
      <c r="H110" s="97">
        <f t="shared" si="13"/>
        <v>310.34869024858892</v>
      </c>
      <c r="I110" s="192"/>
      <c r="J110" s="98">
        <f t="shared" si="14"/>
        <v>1862092.1414915335</v>
      </c>
      <c r="K110" s="163"/>
      <c r="L110" s="99">
        <v>1.0011248072535126</v>
      </c>
      <c r="M110" s="97">
        <f t="shared" si="15"/>
        <v>310.34869024858892</v>
      </c>
      <c r="N110" s="163"/>
      <c r="O110" s="80">
        <v>10</v>
      </c>
      <c r="P110" s="100">
        <f t="shared" si="16"/>
        <v>310.34869024858892</v>
      </c>
      <c r="Q110" s="98">
        <f t="shared" si="17"/>
        <v>1862092.1414915335</v>
      </c>
      <c r="R110" s="163"/>
      <c r="S110" s="163"/>
      <c r="T110" s="163"/>
      <c r="U110" s="163"/>
      <c r="V110" s="163"/>
      <c r="W110" s="163"/>
      <c r="X110" s="163"/>
    </row>
    <row r="111" spans="1:24">
      <c r="A111" s="163"/>
      <c r="B111" s="163"/>
      <c r="C111" s="163"/>
      <c r="D111" s="163"/>
      <c r="E111" s="163"/>
      <c r="F111" s="163"/>
      <c r="G111" s="163"/>
      <c r="H111" s="163"/>
      <c r="I111" s="163"/>
      <c r="J111" s="163"/>
      <c r="K111" s="163"/>
      <c r="L111" s="163"/>
      <c r="M111" s="163"/>
      <c r="N111" s="163"/>
      <c r="O111" s="163"/>
      <c r="P111" s="163"/>
      <c r="Q111" s="163"/>
      <c r="R111" s="163"/>
      <c r="S111" s="163"/>
      <c r="T111" s="163"/>
      <c r="U111" s="163"/>
      <c r="V111" s="163"/>
      <c r="W111" s="163"/>
      <c r="X111" s="163"/>
    </row>
  </sheetData>
  <sheetProtection algorithmName="SHA-512" hashValue="UePw4MtxKT7ulO00WJDGxmXCcIWT4ykmaG7IDeBypV2DRlj01MQEYl5W4HiZxTEw1mtWJ2DNiL5i8xlTU19MGA==" saltValue="FPJEICWLPDvG/Lx/5mR0qQ==" spinCount="100000" sheet="1" objects="1" scenarios="1"/>
  <mergeCells count="5">
    <mergeCell ref="L4:Q4"/>
    <mergeCell ref="B4:J4"/>
    <mergeCell ref="S6:W7"/>
    <mergeCell ref="B5:D5"/>
    <mergeCell ref="E5:J5"/>
  </mergeCells>
  <pageMargins left="0.4" right="0.4" top="0.75" bottom="0.75" header="0.3" footer="0.3"/>
  <pageSetup scale="66"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A2882-1FC8-4B2F-8395-580D996FD0D5}">
  <sheetPr codeName="Sheet1">
    <tabColor rgb="FFFF6600"/>
    <pageSetUpPr fitToPage="1"/>
  </sheetPr>
  <dimension ref="A1:Q39"/>
  <sheetViews>
    <sheetView showGridLines="0" showRowColHeaders="0" workbookViewId="0">
      <selection activeCell="I4" sqref="I4"/>
    </sheetView>
  </sheetViews>
  <sheetFormatPr defaultRowHeight="13.2"/>
  <sheetData>
    <row r="1" spans="1:17">
      <c r="A1" s="163"/>
      <c r="B1" s="163"/>
      <c r="C1" s="163"/>
      <c r="D1" s="163"/>
      <c r="E1" s="163"/>
      <c r="F1" s="163"/>
      <c r="G1" s="163"/>
      <c r="H1" s="163"/>
      <c r="I1" s="163"/>
      <c r="J1" s="163"/>
      <c r="K1" s="163"/>
      <c r="L1" s="163"/>
      <c r="M1" s="163"/>
      <c r="N1" s="163"/>
      <c r="O1" s="163"/>
      <c r="P1" s="163"/>
      <c r="Q1" s="163"/>
    </row>
    <row r="2" spans="1:17">
      <c r="A2" s="163"/>
      <c r="B2" s="163"/>
      <c r="C2" s="163"/>
      <c r="D2" s="163"/>
      <c r="E2" s="163"/>
      <c r="F2" s="163"/>
      <c r="G2" s="163"/>
      <c r="H2" s="163"/>
      <c r="I2" s="163"/>
      <c r="J2" s="163"/>
      <c r="K2" s="163"/>
      <c r="L2" s="163"/>
      <c r="M2" s="163"/>
      <c r="N2" s="163"/>
      <c r="O2" s="163"/>
      <c r="P2" s="163"/>
      <c r="Q2" s="163"/>
    </row>
    <row r="3" spans="1:17">
      <c r="A3" s="163"/>
      <c r="B3" s="163"/>
      <c r="C3" s="163"/>
      <c r="D3" s="163"/>
      <c r="E3" s="163"/>
      <c r="F3" s="163"/>
      <c r="G3" s="163"/>
      <c r="H3" s="163"/>
      <c r="I3" s="163"/>
      <c r="J3" s="163"/>
      <c r="K3" s="163"/>
      <c r="L3" s="163"/>
      <c r="M3" s="163"/>
      <c r="N3" s="163"/>
      <c r="O3" s="163"/>
      <c r="P3" s="163"/>
      <c r="Q3" s="163"/>
    </row>
    <row r="4" spans="1:17">
      <c r="A4" s="163"/>
      <c r="B4" s="163"/>
      <c r="C4" s="163"/>
      <c r="D4" s="163"/>
      <c r="E4" s="163"/>
      <c r="F4" s="163"/>
      <c r="G4" s="163"/>
      <c r="H4" s="163"/>
      <c r="I4" s="163"/>
      <c r="J4" s="163"/>
      <c r="K4" s="163"/>
      <c r="L4" s="163"/>
      <c r="M4" s="163"/>
      <c r="N4" s="163"/>
      <c r="O4" s="163"/>
      <c r="P4" s="163"/>
      <c r="Q4" s="163"/>
    </row>
    <row r="5" spans="1:17">
      <c r="A5" s="163"/>
      <c r="B5" s="163"/>
      <c r="C5" s="163"/>
      <c r="D5" s="163"/>
      <c r="E5" s="163"/>
      <c r="F5" s="163"/>
      <c r="G5" s="163"/>
      <c r="H5" s="163"/>
      <c r="I5" s="163"/>
      <c r="J5" s="163"/>
      <c r="K5" s="163"/>
      <c r="L5" s="163"/>
      <c r="M5" s="163"/>
      <c r="N5" s="163"/>
      <c r="O5" s="163"/>
      <c r="P5" s="163"/>
      <c r="Q5" s="163"/>
    </row>
    <row r="6" spans="1:17">
      <c r="A6" s="163"/>
      <c r="B6" s="163"/>
      <c r="C6" s="163"/>
      <c r="D6" s="163"/>
      <c r="E6" s="163"/>
      <c r="F6" s="163"/>
      <c r="G6" s="163"/>
      <c r="H6" s="163"/>
      <c r="I6" s="163"/>
      <c r="J6" s="163"/>
      <c r="K6" s="163"/>
      <c r="L6" s="163"/>
      <c r="M6" s="163"/>
      <c r="N6" s="163"/>
      <c r="O6" s="163"/>
      <c r="P6" s="163"/>
      <c r="Q6" s="163"/>
    </row>
    <row r="7" spans="1:17">
      <c r="A7" s="163"/>
      <c r="B7" s="163"/>
      <c r="C7" s="163"/>
      <c r="D7" s="163"/>
      <c r="E7" s="163"/>
      <c r="F7" s="163"/>
      <c r="G7" s="163"/>
      <c r="H7" s="163"/>
      <c r="I7" s="163"/>
      <c r="J7" s="163"/>
      <c r="K7" s="163"/>
      <c r="L7" s="163"/>
      <c r="M7" s="163"/>
      <c r="N7" s="163"/>
      <c r="O7" s="163"/>
      <c r="P7" s="163"/>
      <c r="Q7" s="163"/>
    </row>
    <row r="8" spans="1:17">
      <c r="A8" s="163"/>
      <c r="B8" s="163"/>
      <c r="C8" s="163"/>
      <c r="D8" s="163"/>
      <c r="E8" s="163"/>
      <c r="F8" s="163"/>
      <c r="G8" s="163"/>
      <c r="H8" s="163"/>
      <c r="I8" s="163"/>
      <c r="J8" s="163"/>
      <c r="K8" s="163"/>
      <c r="L8" s="163"/>
      <c r="M8" s="163"/>
      <c r="N8" s="163"/>
      <c r="O8" s="163"/>
      <c r="P8" s="163"/>
      <c r="Q8" s="163"/>
    </row>
    <row r="9" spans="1:17">
      <c r="A9" s="163"/>
      <c r="B9" s="163"/>
      <c r="C9" s="163"/>
      <c r="D9" s="163"/>
      <c r="E9" s="163"/>
      <c r="F9" s="163"/>
      <c r="G9" s="163"/>
      <c r="H9" s="163"/>
      <c r="I9" s="163"/>
      <c r="J9" s="163"/>
      <c r="K9" s="163"/>
      <c r="L9" s="163"/>
      <c r="M9" s="163"/>
      <c r="N9" s="163"/>
      <c r="O9" s="163"/>
      <c r="P9" s="163"/>
      <c r="Q9" s="163"/>
    </row>
    <row r="10" spans="1:17">
      <c r="A10" s="163"/>
      <c r="B10" s="163"/>
      <c r="C10" s="163"/>
      <c r="D10" s="163"/>
      <c r="E10" s="163"/>
      <c r="F10" s="163"/>
      <c r="G10" s="163"/>
      <c r="H10" s="163"/>
      <c r="I10" s="163"/>
      <c r="J10" s="163"/>
      <c r="K10" s="163"/>
      <c r="L10" s="163"/>
      <c r="M10" s="163"/>
      <c r="N10" s="163"/>
      <c r="O10" s="163"/>
      <c r="P10" s="163"/>
      <c r="Q10" s="163"/>
    </row>
    <row r="11" spans="1:17">
      <c r="A11" s="163"/>
      <c r="B11" s="163"/>
      <c r="C11" s="163"/>
      <c r="D11" s="163"/>
      <c r="E11" s="163"/>
      <c r="F11" s="163"/>
      <c r="G11" s="163"/>
      <c r="H11" s="163"/>
      <c r="I11" s="163"/>
      <c r="J11" s="163"/>
      <c r="K11" s="163"/>
      <c r="L11" s="163"/>
      <c r="M11" s="163"/>
      <c r="N11" s="163"/>
      <c r="O11" s="163"/>
      <c r="P11" s="163"/>
      <c r="Q11" s="163"/>
    </row>
    <row r="12" spans="1:17">
      <c r="A12" s="163"/>
      <c r="B12" s="163"/>
      <c r="C12" s="163"/>
      <c r="D12" s="163"/>
      <c r="E12" s="163"/>
      <c r="F12" s="163"/>
      <c r="G12" s="163"/>
      <c r="H12" s="163"/>
      <c r="I12" s="163"/>
      <c r="J12" s="163"/>
      <c r="K12" s="163"/>
      <c r="L12" s="163"/>
      <c r="M12" s="163"/>
      <c r="N12" s="163"/>
      <c r="O12" s="163"/>
      <c r="P12" s="163"/>
      <c r="Q12" s="163"/>
    </row>
    <row r="13" spans="1:17">
      <c r="A13" s="163"/>
      <c r="B13" s="163"/>
      <c r="C13" s="163"/>
      <c r="D13" s="163"/>
      <c r="E13" s="163"/>
      <c r="F13" s="163"/>
      <c r="G13" s="163"/>
      <c r="H13" s="163"/>
      <c r="I13" s="163"/>
      <c r="J13" s="163"/>
      <c r="K13" s="163"/>
      <c r="L13" s="163"/>
      <c r="M13" s="163"/>
      <c r="N13" s="163"/>
      <c r="O13" s="163"/>
      <c r="P13" s="163"/>
      <c r="Q13" s="163"/>
    </row>
    <row r="14" spans="1:17">
      <c r="A14" s="163"/>
      <c r="B14" s="163"/>
      <c r="C14" s="163"/>
      <c r="D14" s="163"/>
      <c r="E14" s="163"/>
      <c r="F14" s="163"/>
      <c r="G14" s="163"/>
      <c r="H14" s="163"/>
      <c r="I14" s="163"/>
      <c r="J14" s="163"/>
      <c r="K14" s="163"/>
      <c r="L14" s="163"/>
      <c r="M14" s="163"/>
      <c r="N14" s="163"/>
      <c r="O14" s="163"/>
      <c r="P14" s="163"/>
      <c r="Q14" s="163"/>
    </row>
    <row r="15" spans="1:17">
      <c r="A15" s="163"/>
      <c r="B15" s="163"/>
      <c r="C15" s="163"/>
      <c r="D15" s="163"/>
      <c r="E15" s="163"/>
      <c r="F15" s="163"/>
      <c r="G15" s="163"/>
      <c r="H15" s="163"/>
      <c r="I15" s="163"/>
      <c r="J15" s="163"/>
      <c r="K15" s="163"/>
      <c r="L15" s="163"/>
      <c r="M15" s="163"/>
      <c r="N15" s="163"/>
      <c r="O15" s="163"/>
      <c r="P15" s="163"/>
      <c r="Q15" s="163"/>
    </row>
    <row r="16" spans="1:17">
      <c r="A16" s="163"/>
      <c r="B16" s="163"/>
      <c r="C16" s="163"/>
      <c r="D16" s="163"/>
      <c r="E16" s="163"/>
      <c r="F16" s="163"/>
      <c r="G16" s="163"/>
      <c r="H16" s="163"/>
      <c r="I16" s="163"/>
      <c r="J16" s="163"/>
      <c r="K16" s="163"/>
      <c r="L16" s="163"/>
      <c r="M16" s="163"/>
      <c r="N16" s="163"/>
      <c r="O16" s="163"/>
      <c r="P16" s="163"/>
      <c r="Q16" s="163"/>
    </row>
    <row r="17" spans="1:17">
      <c r="A17" s="163"/>
      <c r="B17" s="163"/>
      <c r="C17" s="163"/>
      <c r="D17" s="163"/>
      <c r="E17" s="163"/>
      <c r="F17" s="163"/>
      <c r="G17" s="163"/>
      <c r="H17" s="163"/>
      <c r="I17" s="163"/>
      <c r="J17" s="163"/>
      <c r="K17" s="163"/>
      <c r="L17" s="163"/>
      <c r="M17" s="163"/>
      <c r="N17" s="163"/>
      <c r="O17" s="163"/>
      <c r="P17" s="163"/>
      <c r="Q17" s="163"/>
    </row>
    <row r="18" spans="1:17">
      <c r="A18" s="163"/>
      <c r="B18" s="163"/>
      <c r="C18" s="163"/>
      <c r="D18" s="163"/>
      <c r="E18" s="163"/>
      <c r="F18" s="163"/>
      <c r="G18" s="163"/>
      <c r="H18" s="163"/>
      <c r="I18" s="163"/>
      <c r="J18" s="163"/>
      <c r="K18" s="163"/>
      <c r="L18" s="163"/>
      <c r="M18" s="163"/>
      <c r="N18" s="163"/>
      <c r="O18" s="163"/>
      <c r="P18" s="163"/>
      <c r="Q18" s="163"/>
    </row>
    <row r="19" spans="1:17">
      <c r="A19" s="163"/>
      <c r="B19" s="163"/>
      <c r="C19" s="163"/>
      <c r="D19" s="163"/>
      <c r="E19" s="163"/>
      <c r="F19" s="163"/>
      <c r="G19" s="163"/>
      <c r="H19" s="163"/>
      <c r="I19" s="163"/>
      <c r="J19" s="163"/>
      <c r="K19" s="163"/>
      <c r="L19" s="163"/>
      <c r="M19" s="163"/>
      <c r="N19" s="163"/>
      <c r="O19" s="163"/>
      <c r="P19" s="163"/>
      <c r="Q19" s="163"/>
    </row>
    <row r="20" spans="1:17">
      <c r="A20" s="163"/>
      <c r="B20" s="163"/>
      <c r="C20" s="163"/>
      <c r="D20" s="163"/>
      <c r="E20" s="163"/>
      <c r="F20" s="163"/>
      <c r="G20" s="163"/>
      <c r="H20" s="163"/>
      <c r="I20" s="163"/>
      <c r="J20" s="163"/>
      <c r="K20" s="163"/>
      <c r="L20" s="163"/>
      <c r="M20" s="163"/>
      <c r="N20" s="163"/>
      <c r="O20" s="163"/>
      <c r="P20" s="163"/>
      <c r="Q20" s="163"/>
    </row>
    <row r="21" spans="1:17">
      <c r="A21" s="163"/>
      <c r="B21" s="163"/>
      <c r="C21" s="163"/>
      <c r="D21" s="163"/>
      <c r="E21" s="163"/>
      <c r="F21" s="163"/>
      <c r="G21" s="163"/>
      <c r="H21" s="163"/>
      <c r="I21" s="163"/>
      <c r="J21" s="163"/>
      <c r="K21" s="163"/>
      <c r="L21" s="163"/>
      <c r="M21" s="163"/>
      <c r="N21" s="163"/>
      <c r="O21" s="163"/>
      <c r="P21" s="163"/>
      <c r="Q21" s="163"/>
    </row>
    <row r="22" spans="1:17">
      <c r="A22" s="163"/>
      <c r="B22" s="163"/>
      <c r="C22" s="163"/>
      <c r="D22" s="163"/>
      <c r="E22" s="163"/>
      <c r="F22" s="163"/>
      <c r="G22" s="163"/>
      <c r="H22" s="163"/>
      <c r="I22" s="163"/>
      <c r="J22" s="163"/>
      <c r="K22" s="163"/>
      <c r="L22" s="163"/>
      <c r="M22" s="163"/>
      <c r="N22" s="163"/>
      <c r="O22" s="163"/>
      <c r="P22" s="163"/>
      <c r="Q22" s="163"/>
    </row>
    <row r="23" spans="1:17">
      <c r="A23" s="163"/>
      <c r="B23" s="163"/>
      <c r="C23" s="163"/>
      <c r="D23" s="163"/>
      <c r="E23" s="163"/>
      <c r="F23" s="163"/>
      <c r="G23" s="163"/>
      <c r="H23" s="163"/>
      <c r="I23" s="163"/>
      <c r="J23" s="163"/>
      <c r="K23" s="163"/>
      <c r="L23" s="163"/>
      <c r="M23" s="163"/>
      <c r="N23" s="163"/>
      <c r="O23" s="163"/>
      <c r="P23" s="163"/>
      <c r="Q23" s="163"/>
    </row>
    <row r="24" spans="1:17">
      <c r="A24" s="163"/>
      <c r="B24" s="163"/>
      <c r="C24" s="163"/>
      <c r="D24" s="163"/>
      <c r="E24" s="163"/>
      <c r="F24" s="163"/>
      <c r="G24" s="163"/>
      <c r="H24" s="163"/>
      <c r="I24" s="163"/>
      <c r="J24" s="163"/>
      <c r="K24" s="163"/>
      <c r="L24" s="163"/>
      <c r="M24" s="163"/>
      <c r="N24" s="163"/>
      <c r="O24" s="163"/>
      <c r="P24" s="163"/>
      <c r="Q24" s="163"/>
    </row>
    <row r="25" spans="1:17">
      <c r="A25" s="163"/>
      <c r="B25" s="163"/>
      <c r="C25" s="163"/>
      <c r="D25" s="163"/>
      <c r="E25" s="163"/>
      <c r="F25" s="163"/>
      <c r="G25" s="163"/>
      <c r="H25" s="163"/>
      <c r="I25" s="163"/>
      <c r="J25" s="163"/>
      <c r="K25" s="163"/>
      <c r="L25" s="163"/>
      <c r="M25" s="163"/>
      <c r="N25" s="163"/>
      <c r="O25" s="163"/>
      <c r="P25" s="163"/>
      <c r="Q25" s="163"/>
    </row>
    <row r="26" spans="1:17">
      <c r="A26" s="163"/>
      <c r="B26" s="163"/>
      <c r="C26" s="163"/>
      <c r="D26" s="163"/>
      <c r="E26" s="163"/>
      <c r="F26" s="163"/>
      <c r="G26" s="163"/>
      <c r="H26" s="163"/>
      <c r="I26" s="163"/>
      <c r="J26" s="163"/>
      <c r="K26" s="163"/>
      <c r="L26" s="163"/>
      <c r="M26" s="163"/>
      <c r="N26" s="163"/>
      <c r="O26" s="163"/>
      <c r="P26" s="163"/>
      <c r="Q26" s="163"/>
    </row>
    <row r="27" spans="1:17">
      <c r="A27" s="163"/>
      <c r="B27" s="163"/>
      <c r="C27" s="163"/>
      <c r="D27" s="163"/>
      <c r="E27" s="163"/>
      <c r="F27" s="163"/>
      <c r="G27" s="163"/>
      <c r="H27" s="163"/>
      <c r="I27" s="163"/>
      <c r="J27" s="163"/>
      <c r="K27" s="163"/>
      <c r="L27" s="163"/>
      <c r="M27" s="163"/>
      <c r="N27" s="163"/>
      <c r="O27" s="163"/>
      <c r="P27" s="163"/>
      <c r="Q27" s="163"/>
    </row>
    <row r="28" spans="1:17">
      <c r="A28" s="163"/>
      <c r="B28" s="163"/>
      <c r="C28" s="163"/>
      <c r="D28" s="163"/>
      <c r="E28" s="163"/>
      <c r="F28" s="163"/>
      <c r="G28" s="163"/>
      <c r="H28" s="163"/>
      <c r="I28" s="163"/>
      <c r="J28" s="163"/>
      <c r="K28" s="163"/>
      <c r="L28" s="163"/>
      <c r="M28" s="163"/>
      <c r="N28" s="163"/>
      <c r="O28" s="163"/>
      <c r="P28" s="163"/>
      <c r="Q28" s="163"/>
    </row>
    <row r="29" spans="1:17">
      <c r="A29" s="163"/>
      <c r="B29" s="163"/>
      <c r="C29" s="163"/>
      <c r="D29" s="163"/>
      <c r="E29" s="163"/>
      <c r="F29" s="163"/>
      <c r="G29" s="163"/>
      <c r="H29" s="163"/>
      <c r="I29" s="163"/>
      <c r="J29" s="163"/>
      <c r="K29" s="163"/>
      <c r="L29" s="163"/>
      <c r="M29" s="163"/>
      <c r="N29" s="163"/>
      <c r="O29" s="163"/>
      <c r="P29" s="163"/>
      <c r="Q29" s="163"/>
    </row>
    <row r="30" spans="1:17">
      <c r="A30" s="163"/>
      <c r="B30" s="163"/>
      <c r="C30" s="163"/>
      <c r="D30" s="163"/>
      <c r="E30" s="163"/>
      <c r="F30" s="163"/>
      <c r="G30" s="163"/>
      <c r="H30" s="163"/>
      <c r="I30" s="163"/>
      <c r="J30" s="163"/>
      <c r="K30" s="163"/>
      <c r="L30" s="163"/>
      <c r="M30" s="163"/>
      <c r="N30" s="163"/>
      <c r="O30" s="163"/>
      <c r="P30" s="163"/>
      <c r="Q30" s="163"/>
    </row>
    <row r="31" spans="1:17">
      <c r="A31" s="163"/>
      <c r="B31" s="163"/>
      <c r="C31" s="163"/>
      <c r="D31" s="163"/>
      <c r="E31" s="163"/>
      <c r="F31" s="163"/>
      <c r="G31" s="163"/>
      <c r="H31" s="163"/>
      <c r="I31" s="163"/>
      <c r="J31" s="163"/>
      <c r="K31" s="163"/>
      <c r="L31" s="163"/>
      <c r="M31" s="163"/>
      <c r="N31" s="163"/>
      <c r="O31" s="163"/>
      <c r="P31" s="163"/>
      <c r="Q31" s="163"/>
    </row>
    <row r="32" spans="1:17">
      <c r="A32" s="163"/>
      <c r="B32" s="163"/>
      <c r="C32" s="163"/>
      <c r="D32" s="163"/>
      <c r="E32" s="163"/>
      <c r="F32" s="163"/>
      <c r="G32" s="163"/>
      <c r="H32" s="163"/>
      <c r="I32" s="163"/>
      <c r="J32" s="163"/>
      <c r="K32" s="163"/>
      <c r="L32" s="163"/>
      <c r="M32" s="163"/>
      <c r="N32" s="163"/>
      <c r="O32" s="163"/>
      <c r="P32" s="163"/>
      <c r="Q32" s="163"/>
    </row>
    <row r="33" spans="1:17">
      <c r="A33" s="163"/>
      <c r="B33" s="163"/>
      <c r="C33" s="163"/>
      <c r="D33" s="163"/>
      <c r="E33" s="163"/>
      <c r="F33" s="163"/>
      <c r="G33" s="163"/>
      <c r="H33" s="163"/>
      <c r="I33" s="163"/>
      <c r="J33" s="163"/>
      <c r="K33" s="163"/>
      <c r="L33" s="163"/>
      <c r="M33" s="163"/>
      <c r="N33" s="163"/>
      <c r="O33" s="163"/>
      <c r="P33" s="163"/>
      <c r="Q33" s="163"/>
    </row>
    <row r="34" spans="1:17">
      <c r="A34" s="163"/>
      <c r="B34" s="163"/>
      <c r="C34" s="163"/>
      <c r="D34" s="163"/>
      <c r="E34" s="163"/>
      <c r="F34" s="163"/>
      <c r="G34" s="163"/>
      <c r="H34" s="163"/>
      <c r="I34" s="163"/>
      <c r="J34" s="163"/>
      <c r="K34" s="163"/>
      <c r="L34" s="163"/>
      <c r="M34" s="163"/>
      <c r="N34" s="163"/>
      <c r="O34" s="163"/>
      <c r="P34" s="163"/>
      <c r="Q34" s="163"/>
    </row>
    <row r="35" spans="1:17">
      <c r="A35" s="163"/>
      <c r="B35" s="163"/>
      <c r="C35" s="163"/>
      <c r="D35" s="163"/>
      <c r="E35" s="163"/>
      <c r="F35" s="163"/>
      <c r="G35" s="163"/>
      <c r="H35" s="163"/>
      <c r="I35" s="163"/>
      <c r="J35" s="163"/>
      <c r="K35" s="163"/>
      <c r="L35" s="163"/>
      <c r="M35" s="163"/>
      <c r="N35" s="163"/>
      <c r="O35" s="163"/>
      <c r="P35" s="163"/>
      <c r="Q35" s="163"/>
    </row>
    <row r="36" spans="1:17">
      <c r="A36" s="163"/>
      <c r="B36" s="163"/>
      <c r="C36" s="163"/>
      <c r="D36" s="163"/>
      <c r="E36" s="163"/>
      <c r="F36" s="163"/>
      <c r="G36" s="163"/>
      <c r="H36" s="163"/>
      <c r="I36" s="163"/>
      <c r="J36" s="163"/>
      <c r="K36" s="163"/>
      <c r="L36" s="163"/>
      <c r="M36" s="163"/>
      <c r="N36" s="163"/>
      <c r="O36" s="163"/>
      <c r="P36" s="163"/>
      <c r="Q36" s="163"/>
    </row>
    <row r="37" spans="1:17">
      <c r="A37" s="163"/>
      <c r="B37" s="163"/>
      <c r="C37" s="163"/>
      <c r="D37" s="163"/>
      <c r="E37" s="163"/>
      <c r="F37" s="163"/>
      <c r="G37" s="163"/>
      <c r="H37" s="163"/>
      <c r="I37" s="163"/>
      <c r="J37" s="163"/>
      <c r="K37" s="163"/>
      <c r="L37" s="163"/>
      <c r="M37" s="163"/>
      <c r="N37" s="163"/>
      <c r="O37" s="163"/>
      <c r="P37" s="163"/>
      <c r="Q37" s="163"/>
    </row>
    <row r="38" spans="1:17">
      <c r="A38" s="163"/>
      <c r="B38" s="163"/>
      <c r="C38" s="163"/>
      <c r="D38" s="163"/>
      <c r="E38" s="163"/>
      <c r="F38" s="163"/>
      <c r="G38" s="163"/>
      <c r="H38" s="163"/>
      <c r="I38" s="163"/>
      <c r="J38" s="163"/>
      <c r="K38" s="163"/>
      <c r="L38" s="163"/>
      <c r="M38" s="163"/>
      <c r="N38" s="163"/>
      <c r="O38" s="163"/>
      <c r="P38" s="163"/>
      <c r="Q38" s="163"/>
    </row>
    <row r="39" spans="1:17">
      <c r="A39" s="163"/>
      <c r="B39" s="163"/>
      <c r="C39" s="163"/>
      <c r="D39" s="163"/>
      <c r="E39" s="163"/>
      <c r="F39" s="163"/>
      <c r="G39" s="163"/>
      <c r="H39" s="163"/>
      <c r="I39" s="163"/>
      <c r="J39" s="163"/>
      <c r="K39" s="163"/>
      <c r="L39" s="163"/>
      <c r="M39" s="163"/>
      <c r="N39" s="163"/>
      <c r="O39" s="163"/>
      <c r="P39" s="163"/>
      <c r="Q39" s="163"/>
    </row>
  </sheetData>
  <sheetProtection algorithmName="SHA-512" hashValue="2oCaicuYP0VxF4cxmSF61o/RGlGw3znSONNrt+SiUnR0Ch8fl3j9w/atE93EcIBeHFBecFH1YV+ZhnhA3/ioHQ==" saltValue="mj1bDoOKmDqKPfOAlx261Q==" spinCount="100000" sheet="1" objects="1" scenarios="1"/>
  <printOptions horizontalCentered="1"/>
  <pageMargins left="0.4" right="0.4" top="0.75" bottom="0.75" header="0.3" footer="0.3"/>
  <pageSetup scale="87" orientation="landscape"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02587-4C65-4143-A882-1854A6579B55}">
  <sheetPr codeName="Sheet5">
    <tabColor rgb="FFFF6600"/>
  </sheetPr>
  <dimension ref="B7:G85"/>
  <sheetViews>
    <sheetView showGridLines="0" showRowColHeaders="0" topLeftCell="A14" workbookViewId="0">
      <selection activeCell="J53" sqref="J53"/>
    </sheetView>
  </sheetViews>
  <sheetFormatPr defaultRowHeight="13.2"/>
  <cols>
    <col min="2" max="2" width="33.44140625" customWidth="1"/>
    <col min="3" max="4" width="16.77734375" customWidth="1"/>
    <col min="5" max="5" width="13.77734375" customWidth="1"/>
    <col min="6" max="7" width="16.77734375" customWidth="1"/>
  </cols>
  <sheetData>
    <row r="7" spans="2:4" ht="13.8" customHeight="1"/>
    <row r="12" spans="2:4" ht="28.05" customHeight="1">
      <c r="B12" s="215"/>
      <c r="C12" s="291" t="str">
        <f>Tr("ACTUAL_COL_HDR","Actual (Before)")</f>
        <v>Actual (Before)</v>
      </c>
      <c r="D12" s="291" t="str">
        <f>Tr("FUTURE_COL_HDR","Future (After EV)")</f>
        <v>Future (After Energy Valve)</v>
      </c>
    </row>
    <row r="13" spans="2:4">
      <c r="B13" s="215" t="str">
        <f>Tr("HDR_DELTA_T","Delta-T")&amp;" ["&amp;UnitText("DELTA")&amp;"]"</f>
        <v>Delta-T [°F]</v>
      </c>
      <c r="C13" s="350">
        <f>displayValue(Model_Home!$F$19,"DELTA")</f>
        <v>6</v>
      </c>
      <c r="D13" s="350">
        <f>displayValue(Model_Home!$F$20,"DELTA")</f>
        <v>12</v>
      </c>
    </row>
    <row r="14" spans="2:4">
      <c r="B14" s="215" t="str">
        <f>Tr("HDR_AVG_FLOW","Avg Flow")&amp;" ["&amp;UnitText("FLOW")&amp;"]"</f>
        <v>Avg Flow [GPM]</v>
      </c>
      <c r="C14" s="221">
        <f>VLOOKUP(displayValue(Model_Home!$F$19,"DELTA"),$B$20:$C$25,2)</f>
        <v>368.12500000000006</v>
      </c>
      <c r="D14" s="221">
        <f>VLOOKUP(displayValue(Model_Home!$F$20,"DELTA"),$B$20:$C$25,2)</f>
        <v>232.50000000000003</v>
      </c>
    </row>
    <row r="15" spans="2:4">
      <c r="B15" s="215" t="str">
        <f>Tr("PUMPING_COST_YEAR_LABEL","Pumping Cost / Year")</f>
        <v>Pumping Cost / Year</v>
      </c>
      <c r="C15" s="222">
        <f>VLOOKUP(displayValue(Model_Home!$F$19,"DELTA"),$B$20:$E$25,4)</f>
        <v>2359.1038107915188</v>
      </c>
      <c r="D15" s="222">
        <f>VLOOKUP(displayValue(Model_Home!$F$20,"DELTA"),$B$20:$E$25,4)</f>
        <v>677.10041038663189</v>
      </c>
    </row>
    <row r="16" spans="2:4">
      <c r="B16" s="215" t="str">
        <f>Tr("HDR_ENERGY_YEAR","Energy / Year")&amp;" ["&amp;UnitText("ENERGY")&amp;"]"</f>
        <v>Energy / Year [kWh]</v>
      </c>
      <c r="C16" s="221">
        <f>VLOOKUP(displayValue(Model_Home!$F$19,"DELTA"),$B$20:$F$25,5)</f>
        <v>23591.038107915185</v>
      </c>
      <c r="D16" s="221">
        <f>VLOOKUP(displayValue(Model_Home!$F$20,"DELTA"),$B$20:$F$25,5)</f>
        <v>6771.0041038663185</v>
      </c>
    </row>
    <row r="19" spans="2:7" ht="28.05" customHeight="1">
      <c r="B19" s="292" t="str">
        <f>Tr("HDR_DELTA_T","Delta-T")&amp;" ["&amp;UnitText("DELTA")&amp;"]"</f>
        <v>Delta-T [°F]</v>
      </c>
      <c r="C19" s="292" t="str">
        <f>Tr("HDR_AVG","Avg")&amp;" ["&amp;UnitText("FLOW")&amp;"]"</f>
        <v>Avg [GPM]</v>
      </c>
      <c r="D19" s="292" t="str">
        <f>Tr("HDR_AVG","Avg")&amp;" ["&amp;UnitText("TONS")&amp;"]"</f>
        <v>Avg [tons]</v>
      </c>
      <c r="E19" s="292" t="str">
        <f>Tr("PUMPING_COST","Pumping Cost")</f>
        <v>Pumping Cost</v>
      </c>
      <c r="F19" s="292" t="str">
        <f>Tr("HDR_ENERGY","Energy")&amp;" ["&amp;UnitText("ENERGY")&amp;"]"</f>
        <v>Energy [kWh]</v>
      </c>
      <c r="G19" s="292" t="str">
        <f>Tr("HDR_ANNUAL","Annual")&amp;" "&amp;UnitText("VOLUME")</f>
        <v>Annual gallons</v>
      </c>
    </row>
    <row r="20" spans="2:7">
      <c r="B20" s="223">
        <f>'Pump Savings'!F21</f>
        <v>4</v>
      </c>
      <c r="C20" s="224">
        <f>'Pump Savings'!R25</f>
        <v>387.50000000000006</v>
      </c>
      <c r="D20" s="249">
        <f>displayValue(('Model_Pump Savings'!R25*'Model_Pump Savings'!F21)/24,"TONS")</f>
        <v>64.583333333333343</v>
      </c>
      <c r="E20" s="225">
        <f>'Pump Savings'!R23</f>
        <v>2686.9063904231421</v>
      </c>
      <c r="F20" s="224">
        <f>'Pump Savings'!R26</f>
        <v>26869.063904231418</v>
      </c>
      <c r="G20" s="224">
        <f>'Pump Savings'!R24</f>
        <v>127795895.15072085</v>
      </c>
    </row>
    <row r="21" spans="2:7">
      <c r="B21" s="226">
        <f>'Pump Savings'!F29</f>
        <v>6</v>
      </c>
      <c r="C21" s="227">
        <f>'Pump Savings'!R33</f>
        <v>368.12500000000006</v>
      </c>
      <c r="D21" s="250">
        <f>displayValue(('Model_Pump Savings'!R33*'Model_Pump Savings'!F29)/24,"TONS")</f>
        <v>92.031250000000014</v>
      </c>
      <c r="E21" s="228">
        <f>'Pump Savings'!R31</f>
        <v>2359.1038107915188</v>
      </c>
      <c r="F21" s="227">
        <f>'Pump Savings'!R34</f>
        <v>23591.038107915185</v>
      </c>
      <c r="G21" s="227">
        <f>'Pump Savings'!R32</f>
        <v>121406100.39318481</v>
      </c>
    </row>
    <row r="22" spans="2:7">
      <c r="B22" s="229">
        <f>'Pump Savings'!F37</f>
        <v>8</v>
      </c>
      <c r="C22" s="230">
        <f>'Pump Savings'!R41</f>
        <v>329.375</v>
      </c>
      <c r="D22" s="251">
        <f>displayValue(('Model_Pump Savings'!R41*'Model_Pump Savings'!F37)/24,"TONS")</f>
        <v>109.79166666666667</v>
      </c>
      <c r="E22" s="231">
        <f>'Pump Savings'!R39</f>
        <v>1796.1969219978707</v>
      </c>
      <c r="F22" s="230">
        <f>'Pump Savings'!R42</f>
        <v>17961.969219978706</v>
      </c>
      <c r="G22" s="230">
        <f>'Pump Savings'!R40</f>
        <v>108626510.87811272</v>
      </c>
    </row>
    <row r="23" spans="2:7">
      <c r="B23" s="232">
        <f>'Pump Savings'!F45</f>
        <v>10</v>
      </c>
      <c r="C23" s="233">
        <f>'Pump Savings'!R49</f>
        <v>279</v>
      </c>
      <c r="D23" s="252">
        <f>displayValue(('Model_Pump Savings'!R49*'Model_Pump Savings'!F45)/24,"TONS")</f>
        <v>116.25</v>
      </c>
      <c r="E23" s="234">
        <f>'Pump Savings'!R47</f>
        <v>1170.0295091480994</v>
      </c>
      <c r="F23" s="233">
        <f>'Pump Savings'!R50</f>
        <v>11700.295091480994</v>
      </c>
      <c r="G23" s="233">
        <f>'Pump Savings'!R48</f>
        <v>92013044.508519009</v>
      </c>
    </row>
    <row r="24" spans="2:7">
      <c r="B24" s="235">
        <f>'Pump Savings'!F53</f>
        <v>12</v>
      </c>
      <c r="C24" s="236">
        <f>'Pump Savings'!R57</f>
        <v>232.50000000000003</v>
      </c>
      <c r="D24" s="253">
        <f>displayValue(('Model_Pump Savings'!R57*'Model_Pump Savings'!F53)/24,"TONS")</f>
        <v>116.25000000000001</v>
      </c>
      <c r="E24" s="237">
        <f>'Pump Savings'!R55</f>
        <v>677.10041038663189</v>
      </c>
      <c r="F24" s="236">
        <f>'Pump Savings'!R58</f>
        <v>6771.0041038663185</v>
      </c>
      <c r="G24" s="236">
        <f>'Pump Savings'!R56</f>
        <v>76677537.09043251</v>
      </c>
    </row>
    <row r="25" spans="2:7">
      <c r="B25" s="238">
        <f>'Pump Savings'!F61</f>
        <v>14</v>
      </c>
      <c r="C25" s="239">
        <f>'Pump Savings'!R65</f>
        <v>199.28571428571431</v>
      </c>
      <c r="D25" s="254">
        <f>displayValue(('Model_Pump Savings'!R65*'Model_Pump Savings'!F61)/24,"TONS")</f>
        <v>116.25000000000001</v>
      </c>
      <c r="E25" s="240">
        <f>'Pump Savings'!R63</f>
        <v>426.39559371286435</v>
      </c>
      <c r="F25" s="239">
        <f>'Pump Savings'!R66</f>
        <v>4263.9559371286432</v>
      </c>
      <c r="G25" s="239">
        <f>'Pump Savings'!R64</f>
        <v>65723603.220370725</v>
      </c>
    </row>
    <row r="26" spans="2:7">
      <c r="B26" s="216"/>
      <c r="C26" s="217"/>
      <c r="E26" s="218"/>
      <c r="F26" s="217"/>
      <c r="G26" s="217"/>
    </row>
    <row r="27" spans="2:7">
      <c r="B27" s="337" t="str">
        <f>CONCATENATE(Tr("ANNUAL_SAVINGS_CHANGING_DT_PREFIX","Annual Energy Savings for 
changing Delta T from "),ROUND(displayValue(Model_Home!$F$19,"DELTA"),2)&amp;"",Tr("DT_TO_MID"," to "),ROUND(displayValue(Model_Home!$F$20,"DELTA"),2)&amp;"")</f>
        <v>Annual Energy Savings for 
changing Delta T from 6 to 12</v>
      </c>
      <c r="C27" s="338"/>
      <c r="D27" s="338"/>
      <c r="E27" s="241"/>
      <c r="F27" s="242"/>
      <c r="G27" s="242"/>
    </row>
    <row r="28" spans="2:7">
      <c r="B28" s="339"/>
      <c r="C28" s="340"/>
      <c r="D28" s="340"/>
      <c r="E28" s="243">
        <f>VLOOKUP(displayValue(Model_Home!$F$19,"DELTA"),$B$20:$F$25,4)-VLOOKUP(displayValue(Model_Home!$F$20,"DELTA"),$B$20:$F$25,4)</f>
        <v>1682.0034004048869</v>
      </c>
      <c r="F28" s="244">
        <f>VLOOKUP(displayValue(Model_Home!$F$19,"DELTA"),$B$20:$F$25,5)-VLOOKUP(displayValue(Model_Home!$F$20,"DELTA"),$B$20:$F$25,5)</f>
        <v>16820.034004048866</v>
      </c>
      <c r="G28" s="244">
        <f>VLOOKUP(displayValue(Model_Home!$F$19,"DELTA"),$B$20:$G$25,6)-VLOOKUP(displayValue(Model_Home!$F$20,"DELTA"),$B$20:$G$25,6)</f>
        <v>44728563.302752301</v>
      </c>
    </row>
    <row r="30" spans="2:7" ht="19.8" customHeight="1">
      <c r="B30" s="341" t="str">
        <f>Tr("CALC_ANNUAL_SAVINGS_SLIDER","Calculate Annual Savings by Changing the DeltaT using the slider")</f>
        <v>Calculate Annual Savings by Changing the Delta T using the slider</v>
      </c>
      <c r="C30" s="341"/>
      <c r="D30" s="341"/>
      <c r="E30" s="341"/>
      <c r="F30" s="341"/>
      <c r="G30" s="341"/>
    </row>
    <row r="32" spans="2:7">
      <c r="B32" s="220" t="str">
        <f>Tr("FROM_WORD","From")</f>
        <v>From</v>
      </c>
      <c r="C32" s="220" t="str">
        <f>Tr("TO_WORD","To")</f>
        <v>To</v>
      </c>
    </row>
    <row r="33" spans="2:7">
      <c r="B33" s="351">
        <f>displayValue(Model_Home!$F$19,"DELTA")</f>
        <v>6</v>
      </c>
      <c r="C33" s="351">
        <f>displayValue(Model_Home!$F$21,"DELTA")</f>
        <v>14</v>
      </c>
      <c r="D33" s="215"/>
      <c r="E33" s="241">
        <f>VLOOKUP(displayValue(Model_Home!$F$19,"DELTA"),$B$20:$F$25,4)-VLOOKUP($C$33,$B$20:$F$25,4)</f>
        <v>1932.7082170786543</v>
      </c>
      <c r="F33" s="242">
        <f>VLOOKUP(displayValue(Model_Home!$F$19,"DELTA"),$B$20:$F$25,5)-VLOOKUP($C$33,$B$20:$F$25,5)</f>
        <v>19327.08217078654</v>
      </c>
      <c r="G33" s="242">
        <f>VLOOKUP(displayValue(Model_Home!$F$19,"DELTA"),$B$20:$G$25,6)-VLOOKUP($C$33,$B$20:$G$25,6)</f>
        <v>55682497.172814086</v>
      </c>
    </row>
    <row r="43" spans="2:7">
      <c r="B43" s="215" t="str">
        <f>Tr("ANNUAL_CO2_AVOIDED","Annual Carbon Dioxide Avoided")</f>
        <v>Annual Carbon Dioxide Avoided</v>
      </c>
      <c r="C43" s="215"/>
      <c r="D43" s="242">
        <f>displayValue(F28*1.4808,"MASS")</f>
        <v>24907.106353195559</v>
      </c>
      <c r="E43" s="215" t="str">
        <f>UnitText("MASS")</f>
        <v>lbs</v>
      </c>
      <c r="F43" s="215"/>
    </row>
    <row r="44" spans="2:7">
      <c r="B44" s="215" t="str">
        <f>Tr("TREE_SEEDLINGS_10YR","Number of Tree Seedlings Grown for 10 Years")</f>
        <v>Number of Tree Seedlings Grown for 10 Years</v>
      </c>
      <c r="C44" s="215"/>
      <c r="D44" s="242">
        <f>(F28*1.4808)*0.00045359237/0.06</f>
        <v>188.29455667646718</v>
      </c>
      <c r="E44" s="215" t="str">
        <f>Tr("TREE_SEEDLINGS_UNIT","tree seedlings")</f>
        <v>tree seedlings</v>
      </c>
      <c r="F44" s="215"/>
    </row>
    <row r="45" spans="2:7">
      <c r="B45" s="215" t="str">
        <f>Tr("EQUIV_HOMES_ELECTRICITY","Equivalent to Number of Houses' Annual Electricity Use")</f>
        <v>Equivalent to Number of Houses' Annual Electricity Use</v>
      </c>
      <c r="C45" s="215"/>
      <c r="D45" s="245">
        <f>F28/12194</f>
        <v>1.3793696903435186</v>
      </c>
      <c r="E45" s="215" t="str">
        <f>Tr("HOMES_WORD","homes")</f>
        <v>homes</v>
      </c>
      <c r="F45" s="215"/>
    </row>
    <row r="52" spans="2:6">
      <c r="B52" s="215"/>
      <c r="C52" s="246" t="str">
        <f>Home!E65</f>
        <v>5 years</v>
      </c>
      <c r="D52" s="246" t="str">
        <f>Home!F65</f>
        <v>10 years</v>
      </c>
      <c r="E52" s="246" t="str">
        <f>Home!G65</f>
        <v>15 years</v>
      </c>
      <c r="F52" s="246" t="str">
        <f>Home!H65</f>
        <v>20 years</v>
      </c>
    </row>
    <row r="53" spans="2:6">
      <c r="B53" s="215" t="str">
        <f>Tr("NPV_LABEL","Net Present Value (NPV)")</f>
        <v>Net Present Value (NPV)</v>
      </c>
      <c r="C53" s="247">
        <f>Home!E66</f>
        <v>3487.9802987676776</v>
      </c>
      <c r="D53" s="247">
        <f>Home!F66</f>
        <v>9642.554281204817</v>
      </c>
      <c r="E53" s="247">
        <f>Home!G66</f>
        <v>14701.165467925755</v>
      </c>
      <c r="F53" s="247">
        <f>Home!H66</f>
        <v>18858.975124847784</v>
      </c>
    </row>
    <row r="54" spans="2:6">
      <c r="B54" s="215" t="str">
        <f>Tr("SIR_LABEL","Savings-Investment Ratio (SIR)")</f>
        <v>Savings-Investment Ratio (SIR)</v>
      </c>
      <c r="C54" s="248">
        <f>Home!E67</f>
        <v>1.8719950746919194</v>
      </c>
      <c r="D54" s="248">
        <f>Home!F67</f>
        <v>3.4106385703012041</v>
      </c>
      <c r="E54" s="248">
        <f>Home!G67</f>
        <v>4.6752913669814387</v>
      </c>
      <c r="F54" s="248">
        <f>Home!H67</f>
        <v>5.7147437812119461</v>
      </c>
    </row>
    <row r="55" spans="2:6">
      <c r="B55" s="215" t="str">
        <f>Tr("SIMPLE_PAYBACK_LABEL","Simple Payback Period")</f>
        <v>Simple Payback Period</v>
      </c>
      <c r="C55" s="219" t="str">
        <f>Home!E68</f>
        <v>2.4 years</v>
      </c>
      <c r="D55" s="219"/>
      <c r="E55" s="219"/>
      <c r="F55" s="219"/>
    </row>
    <row r="59" spans="2:6" ht="13.2" customHeight="1">
      <c r="B59" s="255"/>
      <c r="C59" s="255"/>
      <c r="D59" s="255"/>
      <c r="E59" s="255"/>
      <c r="F59" s="255"/>
    </row>
    <row r="60" spans="2:6" ht="13.8">
      <c r="B60" s="260" t="str">
        <f>Tr("REBATE_BASIS_HDR","Measure &amp; Operating Basis")</f>
        <v>Measure &amp; Operating Basis</v>
      </c>
      <c r="C60" s="259"/>
      <c r="D60" s="259"/>
      <c r="E60" s="259"/>
      <c r="F60" s="255"/>
    </row>
    <row r="61" spans="2:6">
      <c r="B61" s="261" t="str">
        <f>Tr("REBATE_BASELINE_DT","Baseline Delta-T (before)")</f>
        <v>Baseline Delta-T (before)</v>
      </c>
      <c r="C61" s="259"/>
      <c r="D61" s="262">
        <f>displayValue(Model_Home!$F$19,"DELTA")</f>
        <v>6</v>
      </c>
      <c r="E61" s="261" t="str">
        <f>UnitText("DELTA")</f>
        <v>°F</v>
      </c>
      <c r="F61" s="255"/>
    </row>
    <row r="62" spans="2:6">
      <c r="B62" s="261" t="str">
        <f>Tr("REBATE_POST_DT","Post-Retrofit Delta-T (after)")</f>
        <v>Post-Retrofit Delta-T (after)</v>
      </c>
      <c r="C62" s="259"/>
      <c r="D62" s="262">
        <f>displayValue(Model_Home!$F$20,"DELTA")</f>
        <v>12</v>
      </c>
      <c r="E62" s="261" t="str">
        <f>UnitText("DELTA")</f>
        <v>°F</v>
      </c>
      <c r="F62" s="255"/>
    </row>
    <row r="63" spans="2:6">
      <c r="B63" s="261" t="str">
        <f>Tr("REBATE_NUM_COILS","Number of Coils")</f>
        <v>Number of Coils</v>
      </c>
      <c r="C63" s="259"/>
      <c r="D63" s="263">
        <f>Home!$F$12</f>
        <v>1</v>
      </c>
      <c r="E63" s="259"/>
      <c r="F63" s="255"/>
    </row>
    <row r="64" spans="2:6">
      <c r="B64" s="264" t="str">
        <f>Tr("REBATE_ANNUAL_HOURS","Annual Operating Hours")</f>
        <v>Annual Operating Hours</v>
      </c>
      <c r="C64" s="215"/>
      <c r="D64" s="242">
        <f>Home!$F$37</f>
        <v>5496.5976408912193</v>
      </c>
      <c r="E64" s="264" t="str">
        <f>Tr("UNIT_HOURS","hours")</f>
        <v>hours</v>
      </c>
    </row>
    <row r="66" spans="2:5" ht="13.8">
      <c r="B66" s="265" t="str">
        <f>Tr("REBATE_ENERGY_HDR","Energy &amp; Demand Savings")</f>
        <v>Energy &amp; Demand Savings</v>
      </c>
      <c r="C66" s="215"/>
      <c r="D66" s="215"/>
      <c r="E66" s="215"/>
    </row>
    <row r="67" spans="2:5">
      <c r="B67" s="264" t="str">
        <f>Tr("REBATE_ANNUAL_KWH","Annual Electricity Savings")</f>
        <v>Annual Electricity Savings</v>
      </c>
      <c r="C67" s="215"/>
      <c r="D67" s="242">
        <f>$F$28</f>
        <v>16820.034004048866</v>
      </c>
      <c r="E67" s="264" t="str">
        <f>UnitText("ENERGY")</f>
        <v>kWh</v>
      </c>
    </row>
    <row r="68" spans="2:5">
      <c r="B68" s="264" t="str">
        <f>Tr("REBATE_AVG_KW","Average Demand Reduction")</f>
        <v>Average Demand Reduction</v>
      </c>
      <c r="C68" s="215"/>
      <c r="D68" s="266">
        <f>IF(Home!$F$37=0,"",$F$28/Home!$F$37)</f>
        <v>3.0600809997294367</v>
      </c>
      <c r="E68" s="264" t="str">
        <f>Tr("UNIT_KW_LABEL","kW")</f>
        <v>kW</v>
      </c>
    </row>
    <row r="69" spans="2:5">
      <c r="B69" s="264" t="str">
        <f>Tr("REBATE_PEAK_KW","Demand Reduction at Peak Load")</f>
        <v>Demand Reduction at Peak Load</v>
      </c>
      <c r="C69" s="215"/>
      <c r="D69" s="266">
        <f>VLOOKUP(Model_Home!$F$19,Model_Home!$J$1:$K$6,2)-VLOOKUP(Model_Home!$F$20,Model_Home!$J$1:$K$6,2)</f>
        <v>2.3854944534632034</v>
      </c>
      <c r="E69" s="264" t="str">
        <f>Tr("UNIT_KW_LABEL","kW")</f>
        <v>kW</v>
      </c>
    </row>
    <row r="70" spans="2:5">
      <c r="B70" s="264" t="str">
        <f>Tr("REBATE_ANNUAL_COST","Annual Cost Savings")</f>
        <v>Annual Cost Savings</v>
      </c>
      <c r="C70" s="215"/>
      <c r="D70" s="242">
        <f>$E$28</f>
        <v>1682.0034004048869</v>
      </c>
      <c r="E70" s="264" t="str">
        <f>"$"</f>
        <v>$</v>
      </c>
    </row>
    <row r="71" spans="2:5">
      <c r="B71" s="264" t="str">
        <f>Tr("REBATE_BASELINE_KWH","Baseline Annual Pump Energy")</f>
        <v>Baseline Annual Pump Energy</v>
      </c>
      <c r="C71" s="215"/>
      <c r="D71" s="242">
        <f>$C$16</f>
        <v>23591.038107915185</v>
      </c>
      <c r="E71" s="264" t="str">
        <f>UnitText("ENERGY")</f>
        <v>kWh</v>
      </c>
    </row>
    <row r="72" spans="2:5">
      <c r="B72" s="264" t="str">
        <f>Tr("REBATE_POST_KWH","Post-Retrofit Annual Pump Energy")</f>
        <v>Post-Retrofit Annual Pump Energy</v>
      </c>
      <c r="C72" s="215"/>
      <c r="D72" s="242">
        <f>$D$16</f>
        <v>6771.0041038663185</v>
      </c>
      <c r="E72" s="264" t="str">
        <f>UnitText("ENERGY")</f>
        <v>kWh</v>
      </c>
    </row>
    <row r="73" spans="2:5">
      <c r="B73" s="264" t="str">
        <f>Tr("REBATE_PCT_REDUCTION","Pump Energy Reduction")</f>
        <v>Pump Energy Reduction</v>
      </c>
      <c r="C73" s="215"/>
      <c r="D73" s="267">
        <f>IF($C$16=0,"",($C$16-$D$16)/$C$16)</f>
        <v>0.71298405466970383</v>
      </c>
      <c r="E73" s="215"/>
    </row>
    <row r="75" spans="2:5" ht="13.8">
      <c r="B75" s="265" t="str">
        <f>Tr("REBATE_LIFETIME_HDR","Lifetime &amp; Environmental")</f>
        <v>Lifetime &amp; Environmental</v>
      </c>
      <c r="C75" s="215"/>
      <c r="D75" s="215"/>
      <c r="E75" s="215"/>
    </row>
    <row r="76" spans="2:5">
      <c r="B76" s="264" t="str">
        <f>Tr("REBATE_MEASURE_LIFE","Estimated Measure Life")</f>
        <v>Estimated Measure Life</v>
      </c>
      <c r="C76" s="215"/>
      <c r="D76" s="268">
        <f>Home!$F$64</f>
        <v>15</v>
      </c>
      <c r="E76" s="264" t="str">
        <f>Tr("YEARS_WORD","years")</f>
        <v>years</v>
      </c>
    </row>
    <row r="77" spans="2:5">
      <c r="B77" s="264" t="str">
        <f>Tr("REBATE_LIFETIME_KWH","Lifetime Electricity Savings")</f>
        <v>Lifetime Electricity Savings</v>
      </c>
      <c r="C77" s="215"/>
      <c r="D77" s="242">
        <f>$F$28*Home!$F$64</f>
        <v>252300.51006073301</v>
      </c>
      <c r="E77" s="264" t="str">
        <f>UnitText("ENERGY")</f>
        <v>kWh</v>
      </c>
    </row>
    <row r="78" spans="2:5">
      <c r="B78" s="264" t="str">
        <f>Tr("REBATE_WATER","Annual Water Volume Reduction")</f>
        <v>Annual Water Volume Reduction</v>
      </c>
      <c r="C78" s="215"/>
      <c r="D78" s="242">
        <f>$G$28</f>
        <v>44728563.302752301</v>
      </c>
      <c r="E78" s="264" t="str">
        <f>UnitText("VOLUME")</f>
        <v>gallons</v>
      </c>
    </row>
    <row r="79" spans="2:5">
      <c r="B79" s="264" t="str">
        <f>Tr("ANNUAL_CO2_AVOIDED","Annual Carbon Dioxide Avoided")</f>
        <v>Annual Carbon Dioxide Avoided</v>
      </c>
      <c r="C79" s="215"/>
      <c r="D79" s="242">
        <f>$D$43</f>
        <v>24907.106353195559</v>
      </c>
      <c r="E79" s="264" t="str">
        <f>UnitText("MASS")</f>
        <v>lbs</v>
      </c>
    </row>
    <row r="81" spans="2:6">
      <c r="B81" s="342" t="str">
        <f>Tr("UTILITY_REBATE_TEXT","The energy savings and carbon dioxide reduction figures above reflect the transition from your Actual to Future Delta-T setting.")</f>
        <v>Savings are calculated from pump affinity laws applied to the coil's load profile across the operating year. Baseline and post-retrofit pump energy are computed at the Actual and Future Delta-T respectively, using the site's own operating hours, pump head, motor/VFD efficiency and electricity rate entered on the Home sheet. Demand reduction at peak load is the difference in maximum pump input power between the two cases; average demand reduction is annual energy saved divided by annual operating hours. These figures are suitable for submission to utility rebate and incentive programs.</v>
      </c>
      <c r="C81" s="343"/>
      <c r="D81" s="343"/>
      <c r="E81" s="343"/>
      <c r="F81" s="343"/>
    </row>
    <row r="82" spans="2:6">
      <c r="B82" s="343"/>
      <c r="C82" s="343"/>
      <c r="D82" s="343"/>
      <c r="E82" s="343"/>
      <c r="F82" s="343"/>
    </row>
    <row r="83" spans="2:6">
      <c r="B83" s="343"/>
      <c r="C83" s="343"/>
      <c r="D83" s="343"/>
      <c r="E83" s="343"/>
      <c r="F83" s="343"/>
    </row>
    <row r="84" spans="2:6">
      <c r="B84" s="343"/>
      <c r="C84" s="343"/>
      <c r="D84" s="343"/>
      <c r="E84" s="343"/>
      <c r="F84" s="343"/>
    </row>
    <row r="85" spans="2:6">
      <c r="B85" s="343"/>
      <c r="C85" s="343"/>
      <c r="D85" s="343"/>
      <c r="E85" s="343"/>
      <c r="F85" s="343"/>
    </row>
  </sheetData>
  <sheetProtection algorithmName="SHA-512" hashValue="p+f2QrVSCYM78GEe21D7u+qFEg8vhlfqibQVLZw6ViGjGBCBqt9aYip9APCi6nNFwjVMsEEpkzm10g4kHUL1dQ==" saltValue="IQAbxNZuT0bHREy0eUto7A==" spinCount="100000" sheet="1" scenarios="1"/>
  <mergeCells count="3">
    <mergeCell ref="B27:D28"/>
    <mergeCell ref="B30:G30"/>
    <mergeCell ref="B81:F85"/>
  </mergeCells>
  <printOptions horizontalCentered="1"/>
  <pageMargins left="0.4" right="0.4" top="0.5" bottom="0.5" header="0.3" footer="0.3"/>
  <pageSetup scale="61" orientation="landscape" r:id="rId1"/>
  <rowBreaks count="1" manualBreakCount="1">
    <brk id="47"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SpinButton1">
              <controlPr defaultSize="0" autoPict="0" macro="[0]!SpinButton1_Click">
                <anchor moveWithCells="1">
                  <from>
                    <xdr:col>1</xdr:col>
                    <xdr:colOff>0</xdr:colOff>
                    <xdr:row>35</xdr:row>
                    <xdr:rowOff>7620</xdr:rowOff>
                  </from>
                  <to>
                    <xdr:col>2</xdr:col>
                    <xdr:colOff>243840</xdr:colOff>
                    <xdr:row>36</xdr:row>
                    <xdr:rowOff>68580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7C797-A3CE-46AD-B757-85E604E527EC}">
  <sheetPr codeName="InfoText"/>
  <dimension ref="A1:F57"/>
  <sheetViews>
    <sheetView zoomScale="80" zoomScaleNormal="80" workbookViewId="0">
      <selection activeCell="B7" sqref="B7"/>
    </sheetView>
  </sheetViews>
  <sheetFormatPr defaultColWidth="8.5546875" defaultRowHeight="13.2"/>
  <cols>
    <col min="1" max="1" width="25.5546875" style="125" customWidth="1"/>
    <col min="2" max="2" width="18" style="125" customWidth="1"/>
    <col min="3" max="3" width="89.33203125" style="129" customWidth="1"/>
    <col min="4" max="16384" width="8.5546875" style="125"/>
  </cols>
  <sheetData>
    <row r="1" spans="1:6" ht="14.4">
      <c r="A1" s="123" t="s">
        <v>76</v>
      </c>
      <c r="B1" s="123" t="s">
        <v>77</v>
      </c>
      <c r="C1" s="124" t="s">
        <v>78</v>
      </c>
      <c r="D1" s="125" t="s">
        <v>146</v>
      </c>
      <c r="E1" s="125" t="s">
        <v>147</v>
      </c>
      <c r="F1" s="125" t="s">
        <v>148</v>
      </c>
    </row>
    <row r="2" spans="1:6" ht="14.4">
      <c r="A2" s="152" t="s">
        <v>85</v>
      </c>
      <c r="B2" s="152" t="s">
        <v>798</v>
      </c>
      <c r="C2" s="153" t="s">
        <v>86</v>
      </c>
      <c r="D2" s="125" t="s">
        <v>313</v>
      </c>
      <c r="E2" s="125" t="s">
        <v>314</v>
      </c>
      <c r="F2" s="125" t="s">
        <v>315</v>
      </c>
    </row>
    <row r="3" spans="1:6" ht="14.4">
      <c r="A3" s="152" t="s">
        <v>85</v>
      </c>
      <c r="B3" s="166" t="s">
        <v>799</v>
      </c>
      <c r="C3" s="153" t="s">
        <v>1183</v>
      </c>
      <c r="D3" s="125" t="s">
        <v>316</v>
      </c>
      <c r="E3" s="125" t="s">
        <v>317</v>
      </c>
      <c r="F3" s="125" t="s">
        <v>318</v>
      </c>
    </row>
    <row r="4" spans="1:6" ht="14.4">
      <c r="A4" s="195" t="s">
        <v>797</v>
      </c>
      <c r="B4" s="196" t="s">
        <v>800</v>
      </c>
      <c r="C4" s="197" t="s">
        <v>1280</v>
      </c>
      <c r="D4" s="125" t="s">
        <v>1281</v>
      </c>
      <c r="E4" s="125" t="s">
        <v>1282</v>
      </c>
      <c r="F4" s="125" t="s">
        <v>1283</v>
      </c>
    </row>
    <row r="5" spans="1:6" ht="14.4">
      <c r="A5" s="195" t="s">
        <v>797</v>
      </c>
      <c r="B5" s="196" t="s">
        <v>801</v>
      </c>
      <c r="C5" s="197" t="s">
        <v>1284</v>
      </c>
      <c r="D5" s="125" t="s">
        <v>1285</v>
      </c>
      <c r="E5" s="125" t="s">
        <v>1286</v>
      </c>
      <c r="F5" s="125" t="s">
        <v>1287</v>
      </c>
    </row>
    <row r="6" spans="1:6" ht="14.4">
      <c r="A6" s="195" t="s">
        <v>797</v>
      </c>
      <c r="B6" s="196" t="s">
        <v>802</v>
      </c>
      <c r="C6" s="197" t="s">
        <v>1288</v>
      </c>
      <c r="D6" s="125" t="s">
        <v>1289</v>
      </c>
      <c r="E6" s="125" t="s">
        <v>1290</v>
      </c>
      <c r="F6" s="125" t="s">
        <v>1291</v>
      </c>
    </row>
    <row r="7" spans="1:6" ht="18.75" customHeight="1">
      <c r="A7" s="195" t="s">
        <v>138</v>
      </c>
      <c r="B7" s="126" t="s">
        <v>83</v>
      </c>
      <c r="C7" s="126" t="s">
        <v>1203</v>
      </c>
      <c r="D7" s="125" t="s">
        <v>319</v>
      </c>
      <c r="E7" s="125" t="s">
        <v>320</v>
      </c>
      <c r="F7" s="125" t="s">
        <v>321</v>
      </c>
    </row>
    <row r="8" spans="1:6" ht="409.6">
      <c r="A8" s="195" t="s">
        <v>138</v>
      </c>
      <c r="B8" s="151" t="s">
        <v>84</v>
      </c>
      <c r="C8" s="127" t="s">
        <v>1195</v>
      </c>
      <c r="D8" s="129" t="s">
        <v>1196</v>
      </c>
      <c r="E8" s="129" t="s">
        <v>1197</v>
      </c>
      <c r="F8" s="129" t="s">
        <v>1198</v>
      </c>
    </row>
    <row r="9" spans="1:6" ht="14.4">
      <c r="A9" s="195"/>
      <c r="B9" s="126"/>
      <c r="C9" s="126"/>
    </row>
    <row r="10" spans="1:6">
      <c r="A10" s="126" t="s">
        <v>797</v>
      </c>
      <c r="B10" s="126" t="s">
        <v>803</v>
      </c>
      <c r="C10" s="126" t="s">
        <v>1308</v>
      </c>
      <c r="D10" s="125" t="s">
        <v>1309</v>
      </c>
      <c r="E10" s="125" t="s">
        <v>1310</v>
      </c>
      <c r="F10" s="125" t="s">
        <v>1311</v>
      </c>
    </row>
    <row r="11" spans="1:6" ht="409.6">
      <c r="A11" s="126" t="s">
        <v>85</v>
      </c>
      <c r="B11" s="126" t="s">
        <v>946</v>
      </c>
      <c r="C11" s="127" t="s">
        <v>1184</v>
      </c>
      <c r="D11" s="129" t="s">
        <v>947</v>
      </c>
      <c r="E11" s="129" t="s">
        <v>948</v>
      </c>
      <c r="F11" s="129" t="s">
        <v>949</v>
      </c>
    </row>
    <row r="12" spans="1:6" ht="409.6">
      <c r="A12" s="126" t="s">
        <v>85</v>
      </c>
      <c r="B12" s="126" t="s">
        <v>950</v>
      </c>
      <c r="C12" s="127" t="s">
        <v>951</v>
      </c>
      <c r="D12" s="129" t="s">
        <v>1186</v>
      </c>
      <c r="E12" s="129" t="s">
        <v>952</v>
      </c>
      <c r="F12" s="129" t="s">
        <v>953</v>
      </c>
    </row>
    <row r="13" spans="1:6" ht="409.6">
      <c r="A13" s="126" t="s">
        <v>85</v>
      </c>
      <c r="B13" s="126" t="s">
        <v>954</v>
      </c>
      <c r="C13" s="127" t="s">
        <v>1185</v>
      </c>
      <c r="D13" s="129" t="s">
        <v>955</v>
      </c>
      <c r="E13" s="129" t="s">
        <v>956</v>
      </c>
      <c r="F13" s="129" t="s">
        <v>957</v>
      </c>
    </row>
    <row r="14" spans="1:6" ht="409.6">
      <c r="A14" s="126" t="s">
        <v>85</v>
      </c>
      <c r="B14" s="126" t="s">
        <v>1004</v>
      </c>
      <c r="C14" s="127" t="s">
        <v>1005</v>
      </c>
      <c r="D14" s="129" t="s">
        <v>1006</v>
      </c>
      <c r="E14" s="129" t="s">
        <v>1007</v>
      </c>
      <c r="F14" s="129" t="s">
        <v>1008</v>
      </c>
    </row>
    <row r="15" spans="1:6" ht="409.6">
      <c r="A15" s="126" t="s">
        <v>85</v>
      </c>
      <c r="B15" s="126" t="s">
        <v>1009</v>
      </c>
      <c r="C15" s="127" t="s">
        <v>1010</v>
      </c>
      <c r="D15" s="129" t="s">
        <v>1011</v>
      </c>
      <c r="E15" s="129" t="s">
        <v>1012</v>
      </c>
      <c r="F15" s="129" t="s">
        <v>1013</v>
      </c>
    </row>
    <row r="16" spans="1:6" ht="409.6">
      <c r="A16" s="126" t="s">
        <v>85</v>
      </c>
      <c r="B16" s="126" t="s">
        <v>1014</v>
      </c>
      <c r="C16" s="127" t="s">
        <v>1015</v>
      </c>
      <c r="D16" s="129" t="s">
        <v>1016</v>
      </c>
      <c r="E16" s="129" t="s">
        <v>1017</v>
      </c>
      <c r="F16" s="129" t="s">
        <v>1018</v>
      </c>
    </row>
    <row r="17" spans="1:6" ht="409.6">
      <c r="A17" s="126" t="s">
        <v>85</v>
      </c>
      <c r="B17" s="126" t="s">
        <v>1019</v>
      </c>
      <c r="C17" s="127" t="s">
        <v>1020</v>
      </c>
      <c r="D17" s="129" t="s">
        <v>1021</v>
      </c>
      <c r="E17" s="129" t="s">
        <v>1022</v>
      </c>
      <c r="F17" s="129" t="s">
        <v>1023</v>
      </c>
    </row>
    <row r="18" spans="1:6" ht="409.6">
      <c r="A18" s="126" t="s">
        <v>85</v>
      </c>
      <c r="B18" s="126" t="s">
        <v>1024</v>
      </c>
      <c r="C18" s="127" t="s">
        <v>1025</v>
      </c>
      <c r="D18" s="129" t="s">
        <v>1026</v>
      </c>
      <c r="E18" s="129" t="s">
        <v>1027</v>
      </c>
      <c r="F18" s="129" t="s">
        <v>1028</v>
      </c>
    </row>
    <row r="19" spans="1:6" ht="409.6">
      <c r="A19" s="126" t="s">
        <v>85</v>
      </c>
      <c r="B19" s="126" t="s">
        <v>1029</v>
      </c>
      <c r="C19" s="127" t="s">
        <v>1199</v>
      </c>
      <c r="D19" s="129" t="s">
        <v>1200</v>
      </c>
      <c r="E19" s="129" t="s">
        <v>1201</v>
      </c>
      <c r="F19" s="129" t="s">
        <v>1202</v>
      </c>
    </row>
    <row r="20" spans="1:6" ht="409.6">
      <c r="A20" s="126" t="s">
        <v>85</v>
      </c>
      <c r="B20" s="126" t="s">
        <v>1030</v>
      </c>
      <c r="C20" s="127" t="s">
        <v>1031</v>
      </c>
      <c r="D20" s="129" t="s">
        <v>1032</v>
      </c>
      <c r="E20" s="129" t="s">
        <v>1033</v>
      </c>
      <c r="F20" s="129" t="s">
        <v>1034</v>
      </c>
    </row>
    <row r="21" spans="1:6" ht="409.6">
      <c r="A21" s="126" t="s">
        <v>85</v>
      </c>
      <c r="B21" s="126" t="s">
        <v>1035</v>
      </c>
      <c r="C21" s="127" t="s">
        <v>1036</v>
      </c>
      <c r="D21" s="129" t="s">
        <v>1037</v>
      </c>
      <c r="E21" s="129" t="s">
        <v>1038</v>
      </c>
      <c r="F21" s="129" t="s">
        <v>1039</v>
      </c>
    </row>
    <row r="22" spans="1:6" ht="409.6">
      <c r="A22" s="126" t="s">
        <v>85</v>
      </c>
      <c r="B22" s="126" t="s">
        <v>1040</v>
      </c>
      <c r="C22" s="127" t="s">
        <v>1041</v>
      </c>
      <c r="D22" s="129" t="s">
        <v>1042</v>
      </c>
      <c r="E22" s="129" t="s">
        <v>1043</v>
      </c>
      <c r="F22" s="129" t="s">
        <v>1044</v>
      </c>
    </row>
    <row r="23" spans="1:6" ht="409.6">
      <c r="A23" s="126" t="s">
        <v>85</v>
      </c>
      <c r="B23" s="126" t="s">
        <v>1045</v>
      </c>
      <c r="C23" s="127" t="s">
        <v>1300</v>
      </c>
      <c r="D23" s="129" t="s">
        <v>1301</v>
      </c>
      <c r="E23" s="129" t="s">
        <v>1302</v>
      </c>
      <c r="F23" s="129" t="s">
        <v>1303</v>
      </c>
    </row>
    <row r="24" spans="1:6" ht="409.6">
      <c r="A24" s="126" t="s">
        <v>85</v>
      </c>
      <c r="B24" s="126" t="s">
        <v>1046</v>
      </c>
      <c r="C24" s="127" t="s">
        <v>1047</v>
      </c>
      <c r="D24" s="129" t="s">
        <v>1048</v>
      </c>
      <c r="E24" s="129" t="s">
        <v>1049</v>
      </c>
      <c r="F24" s="129" t="s">
        <v>1050</v>
      </c>
    </row>
    <row r="25" spans="1:6" ht="409.6">
      <c r="A25" s="126" t="s">
        <v>85</v>
      </c>
      <c r="B25" s="126" t="s">
        <v>1051</v>
      </c>
      <c r="C25" s="127" t="s">
        <v>1052</v>
      </c>
      <c r="D25" s="129" t="s">
        <v>1053</v>
      </c>
      <c r="E25" s="129" t="s">
        <v>1054</v>
      </c>
      <c r="F25" s="129" t="s">
        <v>1055</v>
      </c>
    </row>
    <row r="26" spans="1:6" ht="409.6">
      <c r="A26" s="126" t="s">
        <v>85</v>
      </c>
      <c r="B26" s="126" t="s">
        <v>1056</v>
      </c>
      <c r="C26" s="127" t="s">
        <v>1057</v>
      </c>
      <c r="D26" s="129" t="s">
        <v>1058</v>
      </c>
      <c r="E26" s="129" t="s">
        <v>1059</v>
      </c>
      <c r="F26" s="129" t="s">
        <v>1060</v>
      </c>
    </row>
    <row r="27" spans="1:6" ht="409.6">
      <c r="A27" s="296" t="s">
        <v>85</v>
      </c>
      <c r="B27" s="296" t="s">
        <v>1061</v>
      </c>
      <c r="C27" s="128" t="s">
        <v>1062</v>
      </c>
      <c r="D27" s="129" t="s">
        <v>1063</v>
      </c>
      <c r="E27" s="129" t="s">
        <v>1064</v>
      </c>
      <c r="F27" s="129" t="s">
        <v>1065</v>
      </c>
    </row>
    <row r="28" spans="1:6" ht="409.6">
      <c r="A28" s="296" t="s">
        <v>85</v>
      </c>
      <c r="B28" s="296" t="s">
        <v>1066</v>
      </c>
      <c r="C28" s="128" t="s">
        <v>1292</v>
      </c>
      <c r="D28" s="129" t="s">
        <v>1293</v>
      </c>
      <c r="E28" s="129" t="s">
        <v>1294</v>
      </c>
      <c r="F28" s="129" t="s">
        <v>1295</v>
      </c>
    </row>
    <row r="29" spans="1:6" ht="409.6">
      <c r="A29" s="296" t="s">
        <v>85</v>
      </c>
      <c r="B29" s="296" t="s">
        <v>1067</v>
      </c>
      <c r="C29" s="128" t="s">
        <v>1068</v>
      </c>
      <c r="D29" s="129" t="s">
        <v>1069</v>
      </c>
      <c r="E29" s="129" t="s">
        <v>1070</v>
      </c>
      <c r="F29" s="129" t="s">
        <v>1071</v>
      </c>
    </row>
    <row r="30" spans="1:6" ht="264.60000000000002">
      <c r="A30" s="296" t="s">
        <v>85</v>
      </c>
      <c r="B30" s="296" t="s">
        <v>1072</v>
      </c>
      <c r="C30" s="129" t="s">
        <v>1296</v>
      </c>
      <c r="D30" s="129" t="s">
        <v>1297</v>
      </c>
      <c r="E30" s="129" t="s">
        <v>1298</v>
      </c>
      <c r="F30" s="129" t="s">
        <v>1299</v>
      </c>
    </row>
    <row r="31" spans="1:6" ht="409.6">
      <c r="A31" s="296" t="s">
        <v>85</v>
      </c>
      <c r="B31" s="296" t="s">
        <v>1073</v>
      </c>
      <c r="C31" s="128" t="s">
        <v>1074</v>
      </c>
      <c r="D31" s="129" t="s">
        <v>1075</v>
      </c>
      <c r="E31" s="129" t="s">
        <v>1076</v>
      </c>
      <c r="F31" s="129" t="s">
        <v>1077</v>
      </c>
    </row>
    <row r="32" spans="1:6" ht="409.6">
      <c r="A32" s="296" t="s">
        <v>85</v>
      </c>
      <c r="B32" s="296" t="s">
        <v>1078</v>
      </c>
      <c r="C32" s="128" t="s">
        <v>1079</v>
      </c>
      <c r="D32" s="129" t="s">
        <v>1080</v>
      </c>
      <c r="E32" s="129" t="s">
        <v>1081</v>
      </c>
      <c r="F32" s="129" t="s">
        <v>1082</v>
      </c>
    </row>
    <row r="33" spans="1:6" ht="409.6">
      <c r="A33" s="296" t="s">
        <v>85</v>
      </c>
      <c r="B33" s="296" t="s">
        <v>1083</v>
      </c>
      <c r="C33" s="128" t="s">
        <v>1084</v>
      </c>
      <c r="D33" s="129" t="s">
        <v>1085</v>
      </c>
      <c r="E33" s="129" t="s">
        <v>1086</v>
      </c>
      <c r="F33" s="129" t="s">
        <v>1087</v>
      </c>
    </row>
    <row r="34" spans="1:6" ht="409.6">
      <c r="A34" s="296" t="s">
        <v>138</v>
      </c>
      <c r="B34" s="296" t="s">
        <v>1088</v>
      </c>
      <c r="C34" s="128" t="s">
        <v>1089</v>
      </c>
      <c r="D34" s="129" t="s">
        <v>1090</v>
      </c>
      <c r="E34" s="129" t="s">
        <v>1091</v>
      </c>
      <c r="F34" s="129" t="s">
        <v>1092</v>
      </c>
    </row>
    <row r="35" spans="1:6" ht="251.4">
      <c r="A35" s="296" t="s">
        <v>138</v>
      </c>
      <c r="B35" s="296" t="s">
        <v>1093</v>
      </c>
      <c r="C35" s="128" t="s">
        <v>1094</v>
      </c>
      <c r="D35" s="129" t="s">
        <v>1095</v>
      </c>
      <c r="E35" s="129" t="s">
        <v>1096</v>
      </c>
      <c r="F35" s="129" t="s">
        <v>1097</v>
      </c>
    </row>
    <row r="36" spans="1:6" ht="291">
      <c r="A36" s="296" t="s">
        <v>138</v>
      </c>
      <c r="B36" s="296" t="s">
        <v>1098</v>
      </c>
      <c r="C36" s="128" t="s">
        <v>1099</v>
      </c>
      <c r="D36" s="129" t="s">
        <v>1100</v>
      </c>
      <c r="E36" s="129" t="s">
        <v>1101</v>
      </c>
      <c r="F36" s="129" t="s">
        <v>1102</v>
      </c>
    </row>
    <row r="37" spans="1:6" ht="409.6">
      <c r="A37" s="296" t="s">
        <v>138</v>
      </c>
      <c r="B37" s="296" t="s">
        <v>1004</v>
      </c>
      <c r="C37" s="129" t="s">
        <v>1103</v>
      </c>
      <c r="D37" s="129" t="s">
        <v>1104</v>
      </c>
      <c r="E37" s="129" t="s">
        <v>1105</v>
      </c>
      <c r="F37" s="129" t="s">
        <v>1106</v>
      </c>
    </row>
    <row r="38" spans="1:6" ht="409.6">
      <c r="A38" s="296" t="s">
        <v>138</v>
      </c>
      <c r="B38" s="296" t="s">
        <v>1107</v>
      </c>
      <c r="C38" s="129" t="s">
        <v>1108</v>
      </c>
      <c r="D38" s="129" t="s">
        <v>1304</v>
      </c>
      <c r="E38" s="129" t="s">
        <v>1305</v>
      </c>
      <c r="F38" s="129" t="s">
        <v>1306</v>
      </c>
    </row>
    <row r="39" spans="1:6" ht="409.6">
      <c r="A39" s="296" t="s">
        <v>138</v>
      </c>
      <c r="B39" s="296" t="s">
        <v>1307</v>
      </c>
      <c r="C39" s="129" t="s">
        <v>1187</v>
      </c>
      <c r="D39" s="129" t="s">
        <v>1188</v>
      </c>
      <c r="E39" s="129" t="s">
        <v>1189</v>
      </c>
      <c r="F39" s="129" t="s">
        <v>1190</v>
      </c>
    </row>
    <row r="40" spans="1:6" ht="409.6">
      <c r="A40" s="125" t="s">
        <v>138</v>
      </c>
      <c r="B40" s="296" t="s">
        <v>1109</v>
      </c>
      <c r="C40" s="129" t="s">
        <v>1110</v>
      </c>
      <c r="D40" s="129" t="s">
        <v>1111</v>
      </c>
      <c r="E40" s="129" t="s">
        <v>1112</v>
      </c>
      <c r="F40" s="129" t="s">
        <v>1113</v>
      </c>
    </row>
    <row r="41" spans="1:6" ht="409.6">
      <c r="A41" s="125" t="s">
        <v>138</v>
      </c>
      <c r="B41" s="296" t="s">
        <v>1114</v>
      </c>
      <c r="C41" s="129" t="s">
        <v>1191</v>
      </c>
      <c r="D41" s="129" t="s">
        <v>1192</v>
      </c>
      <c r="E41" s="129" t="s">
        <v>1193</v>
      </c>
      <c r="F41" s="129" t="s">
        <v>1194</v>
      </c>
    </row>
    <row r="42" spans="1:6" ht="409.6">
      <c r="A42" s="125" t="s">
        <v>797</v>
      </c>
      <c r="B42" s="125" t="s">
        <v>798</v>
      </c>
      <c r="C42" s="129" t="s">
        <v>1115</v>
      </c>
      <c r="D42" s="129" t="s">
        <v>1116</v>
      </c>
      <c r="E42" s="129" t="s">
        <v>1117</v>
      </c>
      <c r="F42" s="129" t="s">
        <v>1118</v>
      </c>
    </row>
    <row r="43" spans="1:6" ht="409.6">
      <c r="A43" s="125" t="s">
        <v>797</v>
      </c>
      <c r="B43" s="125" t="s">
        <v>1119</v>
      </c>
      <c r="C43" s="129" t="s">
        <v>1120</v>
      </c>
      <c r="D43" s="129" t="s">
        <v>1121</v>
      </c>
      <c r="E43" s="129" t="s">
        <v>1122</v>
      </c>
      <c r="F43" s="129" t="s">
        <v>1123</v>
      </c>
    </row>
    <row r="44" spans="1:6" ht="409.6">
      <c r="A44" s="125" t="s">
        <v>797</v>
      </c>
      <c r="B44" s="125" t="s">
        <v>1124</v>
      </c>
      <c r="C44" s="129" t="s">
        <v>1125</v>
      </c>
      <c r="D44" s="129" t="s">
        <v>1126</v>
      </c>
      <c r="E44" s="129" t="s">
        <v>1127</v>
      </c>
      <c r="F44" s="129" t="s">
        <v>1128</v>
      </c>
    </row>
    <row r="45" spans="1:6" ht="396">
      <c r="A45" s="125" t="s">
        <v>797</v>
      </c>
      <c r="B45" s="125" t="s">
        <v>1129</v>
      </c>
      <c r="C45" s="129" t="s">
        <v>1130</v>
      </c>
      <c r="D45" s="129" t="s">
        <v>1131</v>
      </c>
      <c r="E45" s="129" t="s">
        <v>1132</v>
      </c>
      <c r="F45" s="129" t="s">
        <v>1133</v>
      </c>
    </row>
    <row r="46" spans="1:6" ht="382.8">
      <c r="A46" s="125" t="s">
        <v>797</v>
      </c>
      <c r="B46" s="125" t="s">
        <v>1134</v>
      </c>
      <c r="C46" s="129" t="s">
        <v>1135</v>
      </c>
      <c r="D46" s="129" t="s">
        <v>1136</v>
      </c>
      <c r="E46" s="129" t="s">
        <v>1137</v>
      </c>
      <c r="F46" s="129" t="s">
        <v>1138</v>
      </c>
    </row>
    <row r="47" spans="1:6" ht="409.6">
      <c r="A47" s="125" t="s">
        <v>797</v>
      </c>
      <c r="B47" s="125" t="s">
        <v>1139</v>
      </c>
      <c r="C47" s="129" t="s">
        <v>1140</v>
      </c>
      <c r="D47" s="129" t="s">
        <v>1141</v>
      </c>
      <c r="E47" s="129" t="s">
        <v>1142</v>
      </c>
      <c r="F47" s="129" t="s">
        <v>1143</v>
      </c>
    </row>
    <row r="48" spans="1:6" ht="409.2">
      <c r="A48" s="125" t="s">
        <v>797</v>
      </c>
      <c r="B48" s="125" t="s">
        <v>1144</v>
      </c>
      <c r="C48" s="129" t="s">
        <v>1145</v>
      </c>
      <c r="D48" s="129" t="s">
        <v>1146</v>
      </c>
      <c r="E48" s="129" t="s">
        <v>1147</v>
      </c>
      <c r="F48" s="129" t="s">
        <v>1148</v>
      </c>
    </row>
    <row r="49" spans="1:6" ht="290.39999999999998">
      <c r="A49" s="125" t="s">
        <v>797</v>
      </c>
      <c r="B49" s="125" t="s">
        <v>1149</v>
      </c>
      <c r="C49" s="129" t="s">
        <v>1150</v>
      </c>
      <c r="D49" s="129" t="s">
        <v>1151</v>
      </c>
      <c r="E49" s="129" t="s">
        <v>1152</v>
      </c>
      <c r="F49" s="129" t="s">
        <v>1153</v>
      </c>
    </row>
    <row r="50" spans="1:6" ht="409.6">
      <c r="A50" s="125" t="s">
        <v>797</v>
      </c>
      <c r="B50" s="125" t="s">
        <v>1154</v>
      </c>
      <c r="C50" s="129" t="s">
        <v>1155</v>
      </c>
      <c r="D50" s="129" t="s">
        <v>1156</v>
      </c>
      <c r="E50" s="129" t="s">
        <v>1157</v>
      </c>
      <c r="F50" s="129" t="s">
        <v>1158</v>
      </c>
    </row>
    <row r="51" spans="1:6" ht="409.6">
      <c r="A51" s="125" t="s">
        <v>1159</v>
      </c>
      <c r="B51" s="125" t="s">
        <v>1160</v>
      </c>
      <c r="C51" s="129" t="s">
        <v>1161</v>
      </c>
      <c r="D51" s="129" t="s">
        <v>1162</v>
      </c>
      <c r="E51" s="129" t="s">
        <v>1163</v>
      </c>
      <c r="F51" s="129" t="s">
        <v>1164</v>
      </c>
    </row>
    <row r="52" spans="1:6" ht="409.6">
      <c r="A52" s="125" t="s">
        <v>1159</v>
      </c>
      <c r="B52" s="125" t="s">
        <v>1165</v>
      </c>
      <c r="C52" s="129" t="s">
        <v>1166</v>
      </c>
      <c r="D52" s="129" t="s">
        <v>1167</v>
      </c>
      <c r="E52" s="129" t="s">
        <v>1168</v>
      </c>
      <c r="F52" s="129" t="s">
        <v>1169</v>
      </c>
    </row>
    <row r="53" spans="1:6" ht="409.6">
      <c r="A53" s="125" t="s">
        <v>1159</v>
      </c>
      <c r="B53" s="125" t="s">
        <v>1170</v>
      </c>
      <c r="C53" s="129" t="s">
        <v>1171</v>
      </c>
      <c r="D53" s="129" t="s">
        <v>1172</v>
      </c>
      <c r="E53" s="129" t="s">
        <v>1173</v>
      </c>
      <c r="F53" s="129" t="s">
        <v>1174</v>
      </c>
    </row>
    <row r="54" spans="1:6" ht="409.2">
      <c r="A54" s="125" t="s">
        <v>1159</v>
      </c>
      <c r="B54" s="125" t="s">
        <v>1175</v>
      </c>
      <c r="C54" s="129" t="s">
        <v>1176</v>
      </c>
      <c r="D54" s="129" t="s">
        <v>1177</v>
      </c>
      <c r="E54" s="129" t="s">
        <v>1178</v>
      </c>
      <c r="F54" s="129" t="s">
        <v>1179</v>
      </c>
    </row>
    <row r="55" spans="1:6" ht="409.6">
      <c r="A55" s="125" t="s">
        <v>797</v>
      </c>
      <c r="B55" s="125" t="s">
        <v>1180</v>
      </c>
      <c r="C55" s="129" t="s">
        <v>951</v>
      </c>
      <c r="D55" s="129" t="s">
        <v>1186</v>
      </c>
      <c r="E55" s="129" t="s">
        <v>952</v>
      </c>
      <c r="F55" s="129" t="s">
        <v>953</v>
      </c>
    </row>
    <row r="56" spans="1:6" ht="409.6">
      <c r="A56" s="125" t="s">
        <v>797</v>
      </c>
      <c r="B56" s="125" t="s">
        <v>1181</v>
      </c>
      <c r="C56" s="129" t="s">
        <v>1185</v>
      </c>
      <c r="D56" s="129" t="s">
        <v>955</v>
      </c>
      <c r="E56" s="129" t="s">
        <v>956</v>
      </c>
      <c r="F56" s="129" t="s">
        <v>957</v>
      </c>
    </row>
    <row r="57" spans="1:6" ht="409.6">
      <c r="A57" s="125" t="s">
        <v>797</v>
      </c>
      <c r="B57" s="125" t="s">
        <v>1182</v>
      </c>
      <c r="C57" s="129" t="s">
        <v>1084</v>
      </c>
      <c r="D57" s="129" t="s">
        <v>1085</v>
      </c>
      <c r="E57" s="129" t="s">
        <v>1086</v>
      </c>
      <c r="F57" s="129" t="s">
        <v>1087</v>
      </c>
    </row>
  </sheetData>
  <sheetProtection algorithmName="SHA-512" hashValue="wAzfO1k9ESOxcZT5U8c3XYvh8YgUh8y8AXChf6M1tAE5WdZymTLdDBM8O6fFl8NvQ1OCwEJfJjyH75emhB8vjQ==" saltValue="HLQDBOJqf9BPPQuRy0AxhQ==" spinCount="100000" sheet="1" objects="1" scenarios="1"/>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4A7FB-320F-4164-B456-AEA45AFEDF80}">
  <sheetPr codeName="Sheet3"/>
  <dimension ref="A1:Z220"/>
  <sheetViews>
    <sheetView workbookViewId="0">
      <selection activeCell="A220" sqref="A220:E220"/>
    </sheetView>
  </sheetViews>
  <sheetFormatPr defaultRowHeight="13.2"/>
  <sheetData>
    <row r="1" spans="1:26">
      <c r="A1" t="s">
        <v>145</v>
      </c>
      <c r="B1" t="s">
        <v>312</v>
      </c>
      <c r="C1" t="s">
        <v>322</v>
      </c>
      <c r="D1" t="s">
        <v>323</v>
      </c>
      <c r="E1" t="s">
        <v>324</v>
      </c>
      <c r="Z1" s="198"/>
    </row>
    <row r="2" spans="1:26">
      <c r="A2" t="s">
        <v>149</v>
      </c>
      <c r="B2" t="s">
        <v>150</v>
      </c>
      <c r="C2" t="s">
        <v>151</v>
      </c>
      <c r="D2" t="s">
        <v>151</v>
      </c>
      <c r="E2" t="s">
        <v>152</v>
      </c>
    </row>
    <row r="3" spans="1:26">
      <c r="A3" t="s">
        <v>153</v>
      </c>
      <c r="B3" t="s">
        <v>154</v>
      </c>
      <c r="C3" t="s">
        <v>155</v>
      </c>
      <c r="D3" t="s">
        <v>155</v>
      </c>
      <c r="E3" t="s">
        <v>156</v>
      </c>
    </row>
    <row r="4" spans="1:26">
      <c r="A4" t="s">
        <v>157</v>
      </c>
      <c r="B4" t="s">
        <v>0</v>
      </c>
      <c r="C4" t="s">
        <v>158</v>
      </c>
      <c r="D4" t="s">
        <v>158</v>
      </c>
      <c r="E4" t="s">
        <v>159</v>
      </c>
    </row>
    <row r="5" spans="1:26">
      <c r="A5" t="s">
        <v>160</v>
      </c>
      <c r="B5" t="s">
        <v>1</v>
      </c>
      <c r="C5" t="s">
        <v>161</v>
      </c>
      <c r="D5" t="s">
        <v>162</v>
      </c>
      <c r="E5" t="s">
        <v>163</v>
      </c>
    </row>
    <row r="6" spans="1:26">
      <c r="A6" t="s">
        <v>164</v>
      </c>
      <c r="B6" t="s">
        <v>2</v>
      </c>
      <c r="C6" t="s">
        <v>165</v>
      </c>
      <c r="D6" t="s">
        <v>166</v>
      </c>
      <c r="E6" t="s">
        <v>167</v>
      </c>
    </row>
    <row r="7" spans="1:26">
      <c r="A7" t="s">
        <v>168</v>
      </c>
      <c r="B7" t="s">
        <v>169</v>
      </c>
      <c r="C7" t="s">
        <v>170</v>
      </c>
      <c r="D7" t="s">
        <v>171</v>
      </c>
      <c r="E7" t="s">
        <v>172</v>
      </c>
    </row>
    <row r="8" spans="1:26">
      <c r="A8" t="s">
        <v>173</v>
      </c>
      <c r="B8" t="s">
        <v>53</v>
      </c>
      <c r="C8" t="s">
        <v>174</v>
      </c>
      <c r="D8" t="s">
        <v>174</v>
      </c>
      <c r="E8" t="s">
        <v>175</v>
      </c>
    </row>
    <row r="9" spans="1:26">
      <c r="A9" t="s">
        <v>176</v>
      </c>
      <c r="B9" t="s">
        <v>5</v>
      </c>
      <c r="C9" t="s">
        <v>177</v>
      </c>
      <c r="D9" t="s">
        <v>178</v>
      </c>
      <c r="E9" t="s">
        <v>179</v>
      </c>
    </row>
    <row r="10" spans="1:26">
      <c r="A10" t="s">
        <v>180</v>
      </c>
      <c r="B10" t="s">
        <v>7</v>
      </c>
      <c r="C10" t="s">
        <v>181</v>
      </c>
      <c r="D10" t="s">
        <v>182</v>
      </c>
      <c r="E10" t="s">
        <v>183</v>
      </c>
    </row>
    <row r="11" spans="1:26">
      <c r="A11" t="s">
        <v>184</v>
      </c>
      <c r="B11" t="s">
        <v>91</v>
      </c>
      <c r="C11" t="s">
        <v>185</v>
      </c>
      <c r="D11" t="s">
        <v>186</v>
      </c>
      <c r="E11" t="s">
        <v>187</v>
      </c>
    </row>
    <row r="12" spans="1:26">
      <c r="A12" t="s">
        <v>188</v>
      </c>
      <c r="B12" t="s">
        <v>9</v>
      </c>
      <c r="C12" t="s">
        <v>189</v>
      </c>
      <c r="D12" t="s">
        <v>190</v>
      </c>
      <c r="E12" t="s">
        <v>191</v>
      </c>
    </row>
    <row r="13" spans="1:26">
      <c r="A13" t="s">
        <v>192</v>
      </c>
      <c r="B13" t="s">
        <v>10</v>
      </c>
      <c r="C13" t="s">
        <v>193</v>
      </c>
      <c r="D13" t="s">
        <v>194</v>
      </c>
      <c r="E13" t="s">
        <v>195</v>
      </c>
    </row>
    <row r="14" spans="1:26">
      <c r="A14" t="s">
        <v>196</v>
      </c>
      <c r="B14" t="s">
        <v>12</v>
      </c>
      <c r="C14" t="s">
        <v>197</v>
      </c>
      <c r="D14" t="s">
        <v>198</v>
      </c>
      <c r="E14" t="s">
        <v>199</v>
      </c>
    </row>
    <row r="15" spans="1:26">
      <c r="A15" t="s">
        <v>200</v>
      </c>
      <c r="B15" t="s">
        <v>89</v>
      </c>
      <c r="C15" t="s">
        <v>201</v>
      </c>
      <c r="D15" t="s">
        <v>202</v>
      </c>
      <c r="E15" t="s">
        <v>203</v>
      </c>
    </row>
    <row r="16" spans="1:26">
      <c r="A16" t="s">
        <v>204</v>
      </c>
      <c r="B16" t="s">
        <v>13</v>
      </c>
      <c r="C16" t="s">
        <v>1223</v>
      </c>
      <c r="D16" t="s">
        <v>1224</v>
      </c>
      <c r="E16" t="s">
        <v>1225</v>
      </c>
    </row>
    <row r="17" spans="1:26">
      <c r="A17" t="s">
        <v>205</v>
      </c>
      <c r="B17" t="s">
        <v>14</v>
      </c>
      <c r="C17" t="s">
        <v>206</v>
      </c>
      <c r="D17" t="s">
        <v>207</v>
      </c>
      <c r="E17" t="s">
        <v>208</v>
      </c>
    </row>
    <row r="18" spans="1:26">
      <c r="A18" t="s">
        <v>209</v>
      </c>
      <c r="B18" t="s">
        <v>15</v>
      </c>
      <c r="C18" t="s">
        <v>210</v>
      </c>
      <c r="D18" t="s">
        <v>211</v>
      </c>
      <c r="E18" t="s">
        <v>212</v>
      </c>
    </row>
    <row r="19" spans="1:26">
      <c r="A19" t="s">
        <v>213</v>
      </c>
      <c r="B19" t="s">
        <v>16</v>
      </c>
      <c r="C19" t="s">
        <v>214</v>
      </c>
      <c r="D19" t="s">
        <v>215</v>
      </c>
      <c r="E19" t="s">
        <v>216</v>
      </c>
    </row>
    <row r="20" spans="1:26">
      <c r="A20" t="s">
        <v>217</v>
      </c>
      <c r="B20" t="s">
        <v>17</v>
      </c>
      <c r="C20" t="s">
        <v>218</v>
      </c>
      <c r="D20" t="s">
        <v>219</v>
      </c>
      <c r="E20" t="s">
        <v>220</v>
      </c>
    </row>
    <row r="21" spans="1:26">
      <c r="A21" t="s">
        <v>221</v>
      </c>
      <c r="B21" t="s">
        <v>19</v>
      </c>
      <c r="C21" t="s">
        <v>222</v>
      </c>
      <c r="D21" t="s">
        <v>223</v>
      </c>
      <c r="E21" t="s">
        <v>19</v>
      </c>
    </row>
    <row r="22" spans="1:26">
      <c r="A22" t="s">
        <v>224</v>
      </c>
      <c r="B22" t="s">
        <v>20</v>
      </c>
      <c r="C22" t="s">
        <v>225</v>
      </c>
      <c r="D22" t="s">
        <v>226</v>
      </c>
      <c r="E22" t="s">
        <v>227</v>
      </c>
    </row>
    <row r="23" spans="1:26">
      <c r="A23" t="s">
        <v>228</v>
      </c>
      <c r="B23" t="s">
        <v>21</v>
      </c>
      <c r="C23" t="s">
        <v>229</v>
      </c>
      <c r="D23" t="s">
        <v>229</v>
      </c>
      <c r="E23" t="s">
        <v>230</v>
      </c>
    </row>
    <row r="24" spans="1:26">
      <c r="A24" t="s">
        <v>231</v>
      </c>
      <c r="B24" t="s">
        <v>22</v>
      </c>
      <c r="C24" t="s">
        <v>232</v>
      </c>
      <c r="D24" t="s">
        <v>233</v>
      </c>
      <c r="E24" t="s">
        <v>234</v>
      </c>
    </row>
    <row r="25" spans="1:26">
      <c r="A25" t="s">
        <v>235</v>
      </c>
      <c r="B25" t="s">
        <v>23</v>
      </c>
      <c r="C25" t="s">
        <v>236</v>
      </c>
      <c r="D25" t="s">
        <v>237</v>
      </c>
      <c r="E25" t="s">
        <v>238</v>
      </c>
    </row>
    <row r="26" spans="1:26">
      <c r="A26" t="s">
        <v>239</v>
      </c>
      <c r="B26" t="s">
        <v>25</v>
      </c>
      <c r="C26" t="s">
        <v>240</v>
      </c>
      <c r="D26" t="s">
        <v>241</v>
      </c>
      <c r="E26" t="s">
        <v>242</v>
      </c>
    </row>
    <row r="27" spans="1:26">
      <c r="A27" t="s">
        <v>243</v>
      </c>
      <c r="B27" t="s">
        <v>27</v>
      </c>
      <c r="C27" t="s">
        <v>244</v>
      </c>
      <c r="D27" t="s">
        <v>244</v>
      </c>
      <c r="E27" t="s">
        <v>245</v>
      </c>
    </row>
    <row r="28" spans="1:26">
      <c r="A28" t="s">
        <v>246</v>
      </c>
      <c r="B28" t="s">
        <v>29</v>
      </c>
      <c r="C28" t="s">
        <v>247</v>
      </c>
      <c r="D28" t="s">
        <v>248</v>
      </c>
      <c r="E28" t="s">
        <v>249</v>
      </c>
    </row>
    <row r="29" spans="1:26">
      <c r="A29" t="s">
        <v>250</v>
      </c>
      <c r="B29" t="s">
        <v>31</v>
      </c>
      <c r="C29" t="s">
        <v>251</v>
      </c>
      <c r="D29" t="s">
        <v>251</v>
      </c>
      <c r="E29" t="s">
        <v>31</v>
      </c>
    </row>
    <row r="30" spans="1:26">
      <c r="A30" t="s">
        <v>252</v>
      </c>
      <c r="B30" t="s">
        <v>32</v>
      </c>
      <c r="C30" t="s">
        <v>253</v>
      </c>
      <c r="D30" t="s">
        <v>254</v>
      </c>
      <c r="E30" t="s">
        <v>255</v>
      </c>
      <c r="Z30" s="198"/>
    </row>
    <row r="31" spans="1:26">
      <c r="A31" t="s">
        <v>256</v>
      </c>
      <c r="B31" t="s">
        <v>33</v>
      </c>
      <c r="C31" t="s">
        <v>257</v>
      </c>
      <c r="D31" t="s">
        <v>258</v>
      </c>
      <c r="E31" t="s">
        <v>259</v>
      </c>
    </row>
    <row r="32" spans="1:26">
      <c r="A32" t="s">
        <v>260</v>
      </c>
      <c r="B32" t="s">
        <v>34</v>
      </c>
      <c r="C32" t="s">
        <v>261</v>
      </c>
      <c r="D32" t="s">
        <v>261</v>
      </c>
      <c r="E32" t="s">
        <v>262</v>
      </c>
    </row>
    <row r="33" spans="1:26">
      <c r="A33" t="s">
        <v>263</v>
      </c>
      <c r="B33" t="s">
        <v>90</v>
      </c>
      <c r="C33" t="s">
        <v>264</v>
      </c>
      <c r="D33" t="s">
        <v>265</v>
      </c>
      <c r="E33" t="s">
        <v>266</v>
      </c>
    </row>
    <row r="34" spans="1:26">
      <c r="A34" t="s">
        <v>267</v>
      </c>
      <c r="B34" t="s">
        <v>18</v>
      </c>
      <c r="C34" t="s">
        <v>268</v>
      </c>
      <c r="D34" t="s">
        <v>269</v>
      </c>
      <c r="E34" t="s">
        <v>270</v>
      </c>
    </row>
    <row r="35" spans="1:26">
      <c r="A35" t="s">
        <v>271</v>
      </c>
      <c r="B35" t="s">
        <v>35</v>
      </c>
      <c r="C35" t="s">
        <v>35</v>
      </c>
      <c r="D35" t="s">
        <v>35</v>
      </c>
      <c r="E35" t="s">
        <v>272</v>
      </c>
    </row>
    <row r="36" spans="1:26">
      <c r="A36" t="s">
        <v>273</v>
      </c>
      <c r="B36" t="s">
        <v>36</v>
      </c>
      <c r="C36" t="s">
        <v>274</v>
      </c>
      <c r="D36" t="s">
        <v>275</v>
      </c>
      <c r="E36" t="s">
        <v>276</v>
      </c>
    </row>
    <row r="37" spans="1:26">
      <c r="A37" t="s">
        <v>277</v>
      </c>
      <c r="B37" t="s">
        <v>37</v>
      </c>
      <c r="C37" t="s">
        <v>278</v>
      </c>
      <c r="D37" t="s">
        <v>278</v>
      </c>
      <c r="E37" t="s">
        <v>279</v>
      </c>
    </row>
    <row r="38" spans="1:26">
      <c r="A38" t="s">
        <v>280</v>
      </c>
      <c r="B38" t="s">
        <v>38</v>
      </c>
      <c r="C38" t="s">
        <v>281</v>
      </c>
      <c r="D38" t="s">
        <v>282</v>
      </c>
      <c r="E38" t="s">
        <v>283</v>
      </c>
    </row>
    <row r="39" spans="1:26">
      <c r="A39" t="s">
        <v>284</v>
      </c>
      <c r="B39" t="s">
        <v>39</v>
      </c>
      <c r="C39" t="s">
        <v>285</v>
      </c>
      <c r="D39" t="s">
        <v>286</v>
      </c>
      <c r="E39" t="s">
        <v>287</v>
      </c>
    </row>
    <row r="40" spans="1:26">
      <c r="A40" t="s">
        <v>288</v>
      </c>
      <c r="B40" t="s">
        <v>289</v>
      </c>
      <c r="C40" t="s">
        <v>290</v>
      </c>
      <c r="D40" t="s">
        <v>291</v>
      </c>
      <c r="E40" t="s">
        <v>292</v>
      </c>
    </row>
    <row r="41" spans="1:26">
      <c r="A41" t="s">
        <v>293</v>
      </c>
      <c r="B41" t="s">
        <v>40</v>
      </c>
      <c r="C41" t="s">
        <v>294</v>
      </c>
      <c r="D41" t="s">
        <v>295</v>
      </c>
      <c r="E41" t="s">
        <v>296</v>
      </c>
      <c r="Z41" s="198"/>
    </row>
    <row r="42" spans="1:26">
      <c r="A42" t="s">
        <v>297</v>
      </c>
      <c r="B42" t="s">
        <v>41</v>
      </c>
      <c r="C42" t="s">
        <v>298</v>
      </c>
      <c r="D42" t="s">
        <v>298</v>
      </c>
      <c r="E42" t="s">
        <v>299</v>
      </c>
    </row>
    <row r="43" spans="1:26">
      <c r="A43" t="s">
        <v>300</v>
      </c>
      <c r="B43" t="s">
        <v>301</v>
      </c>
      <c r="C43" t="s">
        <v>302</v>
      </c>
      <c r="D43" t="s">
        <v>302</v>
      </c>
      <c r="E43" t="s">
        <v>303</v>
      </c>
    </row>
    <row r="44" spans="1:26">
      <c r="A44" t="s">
        <v>304</v>
      </c>
      <c r="B44" t="s">
        <v>42</v>
      </c>
      <c r="C44" t="s">
        <v>305</v>
      </c>
      <c r="D44" t="s">
        <v>306</v>
      </c>
      <c r="E44" t="s">
        <v>307</v>
      </c>
    </row>
    <row r="45" spans="1:26">
      <c r="A45" t="s">
        <v>308</v>
      </c>
      <c r="B45" t="s">
        <v>43</v>
      </c>
      <c r="C45" t="s">
        <v>309</v>
      </c>
      <c r="D45" t="s">
        <v>310</v>
      </c>
      <c r="E45" t="s">
        <v>311</v>
      </c>
    </row>
    <row r="46" spans="1:26">
      <c r="A46" t="s">
        <v>325</v>
      </c>
      <c r="B46" t="s">
        <v>827</v>
      </c>
      <c r="C46" t="s">
        <v>828</v>
      </c>
      <c r="D46" t="s">
        <v>828</v>
      </c>
      <c r="E46" t="s">
        <v>829</v>
      </c>
    </row>
    <row r="47" spans="1:26">
      <c r="A47" t="s">
        <v>326</v>
      </c>
      <c r="B47" t="s">
        <v>49</v>
      </c>
      <c r="C47" t="s">
        <v>327</v>
      </c>
      <c r="D47" t="s">
        <v>1248</v>
      </c>
      <c r="E47" t="s">
        <v>328</v>
      </c>
    </row>
    <row r="48" spans="1:26">
      <c r="A48" t="s">
        <v>329</v>
      </c>
      <c r="B48" t="s">
        <v>958</v>
      </c>
      <c r="C48" t="s">
        <v>959</v>
      </c>
      <c r="D48" t="s">
        <v>960</v>
      </c>
      <c r="E48" t="s">
        <v>961</v>
      </c>
    </row>
    <row r="49" spans="1:5">
      <c r="A49" t="s">
        <v>330</v>
      </c>
      <c r="B49" t="s">
        <v>965</v>
      </c>
      <c r="C49" t="s">
        <v>966</v>
      </c>
      <c r="D49" t="s">
        <v>966</v>
      </c>
      <c r="E49" t="s">
        <v>967</v>
      </c>
    </row>
    <row r="50" spans="1:5">
      <c r="A50" t="s">
        <v>331</v>
      </c>
      <c r="B50" t="s">
        <v>968</v>
      </c>
      <c r="C50" t="s">
        <v>969</v>
      </c>
      <c r="D50" t="s">
        <v>970</v>
      </c>
      <c r="E50" t="s">
        <v>971</v>
      </c>
    </row>
    <row r="51" spans="1:5">
      <c r="A51" t="s">
        <v>332</v>
      </c>
      <c r="B51" t="s">
        <v>48</v>
      </c>
      <c r="C51" t="s">
        <v>333</v>
      </c>
      <c r="D51" t="s">
        <v>334</v>
      </c>
      <c r="E51" t="s">
        <v>335</v>
      </c>
    </row>
    <row r="52" spans="1:5">
      <c r="A52" t="s">
        <v>336</v>
      </c>
      <c r="B52" t="s">
        <v>50</v>
      </c>
      <c r="C52" t="s">
        <v>337</v>
      </c>
      <c r="D52" t="s">
        <v>338</v>
      </c>
      <c r="E52" t="s">
        <v>339</v>
      </c>
    </row>
    <row r="53" spans="1:5">
      <c r="A53" t="s">
        <v>340</v>
      </c>
      <c r="B53" t="s">
        <v>45</v>
      </c>
      <c r="C53" t="s">
        <v>341</v>
      </c>
      <c r="D53" t="s">
        <v>341</v>
      </c>
      <c r="E53" t="s">
        <v>342</v>
      </c>
    </row>
    <row r="54" spans="1:5">
      <c r="A54" t="s">
        <v>343</v>
      </c>
      <c r="B54" t="s">
        <v>46</v>
      </c>
      <c r="C54" t="s">
        <v>344</v>
      </c>
      <c r="D54" t="s">
        <v>345</v>
      </c>
      <c r="E54" t="s">
        <v>346</v>
      </c>
    </row>
    <row r="55" spans="1:5">
      <c r="A55" t="s">
        <v>347</v>
      </c>
      <c r="B55" t="s">
        <v>47</v>
      </c>
      <c r="C55" t="s">
        <v>348</v>
      </c>
      <c r="D55" t="s">
        <v>349</v>
      </c>
      <c r="E55" t="s">
        <v>350</v>
      </c>
    </row>
    <row r="56" spans="1:5">
      <c r="A56" t="s">
        <v>351</v>
      </c>
      <c r="B56" t="s">
        <v>65</v>
      </c>
      <c r="C56" t="s">
        <v>65</v>
      </c>
      <c r="D56" t="s">
        <v>65</v>
      </c>
      <c r="E56" t="s">
        <v>65</v>
      </c>
    </row>
    <row r="57" spans="1:5">
      <c r="A57" t="s">
        <v>352</v>
      </c>
      <c r="B57" t="s">
        <v>807</v>
      </c>
      <c r="C57" t="s">
        <v>808</v>
      </c>
      <c r="D57" t="s">
        <v>809</v>
      </c>
      <c r="E57" t="s">
        <v>810</v>
      </c>
    </row>
    <row r="58" spans="1:5">
      <c r="A58" t="s">
        <v>353</v>
      </c>
      <c r="B58" t="s">
        <v>69</v>
      </c>
      <c r="C58" t="s">
        <v>69</v>
      </c>
      <c r="D58" t="s">
        <v>69</v>
      </c>
      <c r="E58" t="s">
        <v>69</v>
      </c>
    </row>
    <row r="59" spans="1:5">
      <c r="A59" t="s">
        <v>354</v>
      </c>
      <c r="B59" t="s">
        <v>71</v>
      </c>
      <c r="C59" t="s">
        <v>355</v>
      </c>
      <c r="D59" t="s">
        <v>355</v>
      </c>
      <c r="E59" t="s">
        <v>356</v>
      </c>
    </row>
    <row r="60" spans="1:5">
      <c r="A60" t="s">
        <v>357</v>
      </c>
      <c r="B60" t="s">
        <v>72</v>
      </c>
      <c r="C60" t="s">
        <v>358</v>
      </c>
      <c r="D60" t="s">
        <v>358</v>
      </c>
      <c r="E60" t="s">
        <v>359</v>
      </c>
    </row>
    <row r="61" spans="1:5">
      <c r="A61" t="s">
        <v>360</v>
      </c>
      <c r="B61" t="s">
        <v>1003</v>
      </c>
      <c r="C61" t="s">
        <v>361</v>
      </c>
      <c r="D61" t="s">
        <v>361</v>
      </c>
      <c r="E61" t="s">
        <v>362</v>
      </c>
    </row>
    <row r="62" spans="1:5">
      <c r="A62" t="s">
        <v>363</v>
      </c>
      <c r="B62" t="s">
        <v>70</v>
      </c>
      <c r="C62" t="s">
        <v>1244</v>
      </c>
      <c r="D62" t="s">
        <v>1245</v>
      </c>
      <c r="E62" t="s">
        <v>1246</v>
      </c>
    </row>
    <row r="63" spans="1:5">
      <c r="A63" t="s">
        <v>364</v>
      </c>
      <c r="B63" t="s">
        <v>962</v>
      </c>
      <c r="C63" t="s">
        <v>963</v>
      </c>
      <c r="D63" t="s">
        <v>964</v>
      </c>
      <c r="E63" t="s">
        <v>963</v>
      </c>
    </row>
    <row r="64" spans="1:5">
      <c r="A64" t="s">
        <v>365</v>
      </c>
      <c r="B64" t="s">
        <v>972</v>
      </c>
      <c r="C64" t="s">
        <v>973</v>
      </c>
      <c r="D64" t="s">
        <v>973</v>
      </c>
      <c r="E64" t="s">
        <v>974</v>
      </c>
    </row>
    <row r="65" spans="1:5">
      <c r="A65" t="s">
        <v>366</v>
      </c>
      <c r="B65" t="s">
        <v>75</v>
      </c>
      <c r="C65" t="s">
        <v>367</v>
      </c>
      <c r="D65" t="s">
        <v>1247</v>
      </c>
      <c r="E65" t="s">
        <v>368</v>
      </c>
    </row>
    <row r="66" spans="1:5">
      <c r="A66" t="s">
        <v>369</v>
      </c>
      <c r="B66" t="s">
        <v>979</v>
      </c>
      <c r="C66" t="s">
        <v>1241</v>
      </c>
      <c r="D66" t="s">
        <v>1242</v>
      </c>
      <c r="E66" t="s">
        <v>1243</v>
      </c>
    </row>
    <row r="67" spans="1:5">
      <c r="A67" t="s">
        <v>370</v>
      </c>
      <c r="B67" t="s">
        <v>44</v>
      </c>
      <c r="C67" t="s">
        <v>371</v>
      </c>
      <c r="D67" t="s">
        <v>372</v>
      </c>
      <c r="E67" t="s">
        <v>373</v>
      </c>
    </row>
    <row r="68" spans="1:5">
      <c r="A68" t="s">
        <v>374</v>
      </c>
      <c r="B68" t="s">
        <v>82</v>
      </c>
      <c r="C68" t="s">
        <v>375</v>
      </c>
      <c r="D68" t="s">
        <v>376</v>
      </c>
      <c r="E68" t="s">
        <v>377</v>
      </c>
    </row>
    <row r="69" spans="1:5">
      <c r="A69" t="s">
        <v>378</v>
      </c>
      <c r="B69" t="s">
        <v>1208</v>
      </c>
      <c r="C69" t="s">
        <v>379</v>
      </c>
      <c r="D69" t="s">
        <v>380</v>
      </c>
      <c r="E69" t="s">
        <v>381</v>
      </c>
    </row>
    <row r="70" spans="1:5">
      <c r="A70" t="s">
        <v>382</v>
      </c>
      <c r="B70" t="s">
        <v>128</v>
      </c>
      <c r="C70" t="s">
        <v>1232</v>
      </c>
      <c r="D70" t="s">
        <v>1233</v>
      </c>
      <c r="E70" t="s">
        <v>1234</v>
      </c>
    </row>
    <row r="71" spans="1:5">
      <c r="A71" t="s">
        <v>383</v>
      </c>
      <c r="B71" t="s">
        <v>384</v>
      </c>
      <c r="C71" t="s">
        <v>1235</v>
      </c>
      <c r="D71" t="s">
        <v>1236</v>
      </c>
      <c r="E71" t="s">
        <v>1237</v>
      </c>
    </row>
    <row r="72" spans="1:5">
      <c r="A72" t="s">
        <v>385</v>
      </c>
      <c r="B72" t="s">
        <v>993</v>
      </c>
      <c r="C72" t="s">
        <v>1238</v>
      </c>
      <c r="D72" t="s">
        <v>1239</v>
      </c>
      <c r="E72" t="s">
        <v>1240</v>
      </c>
    </row>
    <row r="73" spans="1:5">
      <c r="A73" t="s">
        <v>386</v>
      </c>
      <c r="B73" t="s">
        <v>993</v>
      </c>
      <c r="C73" t="s">
        <v>1238</v>
      </c>
      <c r="D73" t="s">
        <v>1239</v>
      </c>
      <c r="E73" t="s">
        <v>1240</v>
      </c>
    </row>
    <row r="74" spans="1:5">
      <c r="A74" t="s">
        <v>387</v>
      </c>
      <c r="B74" t="s">
        <v>129</v>
      </c>
      <c r="C74" t="s">
        <v>388</v>
      </c>
      <c r="D74" t="s">
        <v>388</v>
      </c>
      <c r="E74" t="s">
        <v>389</v>
      </c>
    </row>
    <row r="75" spans="1:5">
      <c r="A75" t="s">
        <v>390</v>
      </c>
      <c r="B75" t="s">
        <v>975</v>
      </c>
      <c r="C75" t="s">
        <v>976</v>
      </c>
      <c r="D75" t="s">
        <v>977</v>
      </c>
      <c r="E75" t="s">
        <v>978</v>
      </c>
    </row>
    <row r="76" spans="1:5">
      <c r="A76" t="s">
        <v>391</v>
      </c>
      <c r="B76" t="s">
        <v>392</v>
      </c>
      <c r="C76" t="s">
        <v>393</v>
      </c>
      <c r="D76" t="s">
        <v>394</v>
      </c>
      <c r="E76" t="s">
        <v>395</v>
      </c>
    </row>
    <row r="77" spans="1:5">
      <c r="A77" t="s">
        <v>396</v>
      </c>
      <c r="B77" t="s">
        <v>73</v>
      </c>
      <c r="C77" t="s">
        <v>397</v>
      </c>
      <c r="D77" t="s">
        <v>397</v>
      </c>
      <c r="E77" t="s">
        <v>398</v>
      </c>
    </row>
    <row r="78" spans="1:5">
      <c r="A78" t="s">
        <v>399</v>
      </c>
      <c r="B78" t="s">
        <v>74</v>
      </c>
      <c r="C78" t="s">
        <v>400</v>
      </c>
      <c r="D78" t="s">
        <v>401</v>
      </c>
      <c r="E78" t="s">
        <v>74</v>
      </c>
    </row>
    <row r="79" spans="1:5">
      <c r="A79" t="s">
        <v>402</v>
      </c>
      <c r="B79" t="s">
        <v>403</v>
      </c>
      <c r="C79" t="s">
        <v>404</v>
      </c>
      <c r="D79" t="s">
        <v>405</v>
      </c>
      <c r="E79" t="s">
        <v>406</v>
      </c>
    </row>
    <row r="80" spans="1:5">
      <c r="A80" t="s">
        <v>407</v>
      </c>
      <c r="B80" t="s">
        <v>66</v>
      </c>
      <c r="C80" t="s">
        <v>408</v>
      </c>
      <c r="D80" t="s">
        <v>409</v>
      </c>
      <c r="E80" t="s">
        <v>410</v>
      </c>
    </row>
    <row r="81" spans="1:5">
      <c r="A81" t="s">
        <v>411</v>
      </c>
      <c r="B81" t="s">
        <v>67</v>
      </c>
      <c r="C81" t="s">
        <v>412</v>
      </c>
      <c r="D81" t="s">
        <v>413</v>
      </c>
      <c r="E81" t="s">
        <v>414</v>
      </c>
    </row>
    <row r="82" spans="1:5">
      <c r="A82" t="s">
        <v>415</v>
      </c>
      <c r="B82" t="s">
        <v>79</v>
      </c>
      <c r="C82" t="s">
        <v>416</v>
      </c>
      <c r="D82" t="s">
        <v>417</v>
      </c>
      <c r="E82" t="s">
        <v>418</v>
      </c>
    </row>
    <row r="83" spans="1:5">
      <c r="A83" t="s">
        <v>419</v>
      </c>
      <c r="B83" t="s">
        <v>1209</v>
      </c>
      <c r="C83" t="s">
        <v>1212</v>
      </c>
      <c r="D83" t="s">
        <v>1214</v>
      </c>
      <c r="E83" t="s">
        <v>1216</v>
      </c>
    </row>
    <row r="84" spans="1:5">
      <c r="A84" t="s">
        <v>420</v>
      </c>
      <c r="B84" t="s">
        <v>80</v>
      </c>
      <c r="C84" t="s">
        <v>421</v>
      </c>
      <c r="D84" t="s">
        <v>422</v>
      </c>
      <c r="E84" t="s">
        <v>422</v>
      </c>
    </row>
    <row r="85" spans="1:5">
      <c r="A85" t="s">
        <v>423</v>
      </c>
      <c r="B85" t="s">
        <v>81</v>
      </c>
      <c r="C85" t="s">
        <v>424</v>
      </c>
      <c r="D85" t="s">
        <v>425</v>
      </c>
      <c r="E85" t="s">
        <v>426</v>
      </c>
    </row>
    <row r="86" spans="1:5">
      <c r="A86" t="s">
        <v>427</v>
      </c>
      <c r="B86" t="s">
        <v>139</v>
      </c>
      <c r="C86" t="s">
        <v>428</v>
      </c>
      <c r="D86" t="s">
        <v>428</v>
      </c>
      <c r="E86" t="s">
        <v>429</v>
      </c>
    </row>
    <row r="87" spans="1:5">
      <c r="A87" t="s">
        <v>430</v>
      </c>
      <c r="B87" t="s">
        <v>140</v>
      </c>
      <c r="C87" t="s">
        <v>431</v>
      </c>
      <c r="D87" t="s">
        <v>431</v>
      </c>
      <c r="E87" t="s">
        <v>432</v>
      </c>
    </row>
    <row r="88" spans="1:5">
      <c r="A88" t="s">
        <v>433</v>
      </c>
      <c r="B88" t="s">
        <v>141</v>
      </c>
      <c r="C88" t="s">
        <v>1228</v>
      </c>
      <c r="D88" t="s">
        <v>434</v>
      </c>
      <c r="E88" t="s">
        <v>435</v>
      </c>
    </row>
    <row r="89" spans="1:5">
      <c r="A89" t="s">
        <v>436</v>
      </c>
      <c r="B89" t="s">
        <v>142</v>
      </c>
      <c r="C89" t="s">
        <v>437</v>
      </c>
      <c r="D89" t="s">
        <v>438</v>
      </c>
      <c r="E89" t="s">
        <v>439</v>
      </c>
    </row>
    <row r="90" spans="1:5">
      <c r="A90" t="s">
        <v>440</v>
      </c>
      <c r="B90" t="s">
        <v>143</v>
      </c>
      <c r="C90" t="s">
        <v>1229</v>
      </c>
      <c r="D90" t="s">
        <v>1230</v>
      </c>
      <c r="E90" t="s">
        <v>1231</v>
      </c>
    </row>
    <row r="91" spans="1:5">
      <c r="A91" t="s">
        <v>441</v>
      </c>
      <c r="B91" t="s">
        <v>144</v>
      </c>
      <c r="C91" t="s">
        <v>442</v>
      </c>
      <c r="D91" t="s">
        <v>443</v>
      </c>
      <c r="E91" t="s">
        <v>444</v>
      </c>
    </row>
    <row r="92" spans="1:5">
      <c r="A92" t="s">
        <v>445</v>
      </c>
      <c r="B92" t="s">
        <v>446</v>
      </c>
      <c r="C92" t="s">
        <v>446</v>
      </c>
      <c r="D92" t="s">
        <v>446</v>
      </c>
      <c r="E92" t="s">
        <v>446</v>
      </c>
    </row>
    <row r="93" spans="1:5">
      <c r="A93" t="s">
        <v>447</v>
      </c>
      <c r="B93" t="s">
        <v>448</v>
      </c>
      <c r="C93" t="s">
        <v>449</v>
      </c>
      <c r="D93" t="s">
        <v>450</v>
      </c>
      <c r="E93" t="s">
        <v>451</v>
      </c>
    </row>
    <row r="94" spans="1:5" ht="118.8">
      <c r="A94" t="s">
        <v>452</v>
      </c>
      <c r="B94" s="198" t="s">
        <v>453</v>
      </c>
      <c r="C94" s="198" t="s">
        <v>454</v>
      </c>
      <c r="D94" s="198" t="s">
        <v>455</v>
      </c>
      <c r="E94" s="198" t="s">
        <v>456</v>
      </c>
    </row>
    <row r="95" spans="1:5">
      <c r="A95" t="s">
        <v>457</v>
      </c>
      <c r="B95" t="s">
        <v>458</v>
      </c>
      <c r="C95" t="s">
        <v>459</v>
      </c>
      <c r="D95" t="s">
        <v>460</v>
      </c>
      <c r="E95" t="s">
        <v>461</v>
      </c>
    </row>
    <row r="96" spans="1:5">
      <c r="A96" t="s">
        <v>462</v>
      </c>
      <c r="B96" t="s">
        <v>54</v>
      </c>
      <c r="C96" t="s">
        <v>463</v>
      </c>
      <c r="D96" t="s">
        <v>464</v>
      </c>
      <c r="E96" t="s">
        <v>465</v>
      </c>
    </row>
    <row r="97" spans="1:5">
      <c r="A97" t="s">
        <v>466</v>
      </c>
      <c r="B97" t="s">
        <v>88</v>
      </c>
      <c r="C97" t="s">
        <v>467</v>
      </c>
      <c r="D97" t="s">
        <v>467</v>
      </c>
      <c r="E97" t="s">
        <v>468</v>
      </c>
    </row>
    <row r="98" spans="1:5">
      <c r="A98" t="s">
        <v>469</v>
      </c>
      <c r="B98" t="s">
        <v>132</v>
      </c>
      <c r="C98" t="s">
        <v>470</v>
      </c>
      <c r="D98" t="s">
        <v>471</v>
      </c>
      <c r="E98" t="s">
        <v>472</v>
      </c>
    </row>
    <row r="99" spans="1:5">
      <c r="A99" t="s">
        <v>473</v>
      </c>
      <c r="B99" t="s">
        <v>133</v>
      </c>
      <c r="C99" t="s">
        <v>474</v>
      </c>
      <c r="D99" t="s">
        <v>475</v>
      </c>
      <c r="E99" t="s">
        <v>476</v>
      </c>
    </row>
    <row r="100" spans="1:5">
      <c r="A100" t="s">
        <v>477</v>
      </c>
      <c r="B100" t="s">
        <v>134</v>
      </c>
      <c r="C100" t="s">
        <v>478</v>
      </c>
      <c r="D100" t="s">
        <v>479</v>
      </c>
      <c r="E100" t="s">
        <v>480</v>
      </c>
    </row>
    <row r="101" spans="1:5">
      <c r="A101" t="s">
        <v>481</v>
      </c>
      <c r="B101" t="s">
        <v>56</v>
      </c>
      <c r="C101" t="s">
        <v>482</v>
      </c>
      <c r="D101" t="s">
        <v>483</v>
      </c>
      <c r="E101" t="s">
        <v>484</v>
      </c>
    </row>
    <row r="102" spans="1:5">
      <c r="A102" t="s">
        <v>485</v>
      </c>
      <c r="B102" t="s">
        <v>57</v>
      </c>
      <c r="C102" t="s">
        <v>486</v>
      </c>
      <c r="D102" t="s">
        <v>486</v>
      </c>
      <c r="E102" t="s">
        <v>487</v>
      </c>
    </row>
    <row r="103" spans="1:5">
      <c r="A103" t="s">
        <v>488</v>
      </c>
      <c r="B103" t="s">
        <v>87</v>
      </c>
      <c r="C103" t="s">
        <v>87</v>
      </c>
      <c r="D103" t="s">
        <v>87</v>
      </c>
      <c r="E103" t="s">
        <v>87</v>
      </c>
    </row>
    <row r="104" spans="1:5">
      <c r="A104" t="s">
        <v>489</v>
      </c>
      <c r="B104" t="s">
        <v>490</v>
      </c>
      <c r="C104" t="s">
        <v>490</v>
      </c>
      <c r="D104" t="s">
        <v>490</v>
      </c>
      <c r="E104" t="s">
        <v>490</v>
      </c>
    </row>
    <row r="105" spans="1:5">
      <c r="A105" t="s">
        <v>491</v>
      </c>
      <c r="B105" t="s">
        <v>69</v>
      </c>
      <c r="C105" t="s">
        <v>69</v>
      </c>
      <c r="D105" t="s">
        <v>69</v>
      </c>
      <c r="E105" t="s">
        <v>69</v>
      </c>
    </row>
    <row r="106" spans="1:5">
      <c r="A106" t="s">
        <v>492</v>
      </c>
      <c r="B106" t="s">
        <v>58</v>
      </c>
      <c r="C106" t="s">
        <v>493</v>
      </c>
      <c r="D106" t="s">
        <v>58</v>
      </c>
      <c r="E106" t="s">
        <v>494</v>
      </c>
    </row>
    <row r="107" spans="1:5">
      <c r="A107" t="s">
        <v>495</v>
      </c>
      <c r="B107" t="s">
        <v>59</v>
      </c>
      <c r="C107" t="s">
        <v>59</v>
      </c>
      <c r="D107" t="s">
        <v>59</v>
      </c>
      <c r="E107" t="s">
        <v>59</v>
      </c>
    </row>
    <row r="108" spans="1:5">
      <c r="A108" t="s">
        <v>496</v>
      </c>
      <c r="B108" t="s">
        <v>64</v>
      </c>
      <c r="C108" t="s">
        <v>64</v>
      </c>
      <c r="D108" t="s">
        <v>64</v>
      </c>
      <c r="E108" t="s">
        <v>64</v>
      </c>
    </row>
    <row r="109" spans="1:5">
      <c r="A109" t="s">
        <v>497</v>
      </c>
      <c r="B109" t="s">
        <v>60</v>
      </c>
      <c r="C109" t="s">
        <v>498</v>
      </c>
      <c r="D109" t="s">
        <v>499</v>
      </c>
      <c r="E109" t="s">
        <v>498</v>
      </c>
    </row>
    <row r="110" spans="1:5">
      <c r="A110" t="s">
        <v>500</v>
      </c>
      <c r="B110" t="s">
        <v>61</v>
      </c>
      <c r="C110" t="s">
        <v>501</v>
      </c>
      <c r="D110" t="s">
        <v>502</v>
      </c>
      <c r="E110" t="s">
        <v>501</v>
      </c>
    </row>
    <row r="111" spans="1:5">
      <c r="A111" t="s">
        <v>503</v>
      </c>
      <c r="B111" t="s">
        <v>62</v>
      </c>
      <c r="C111" t="s">
        <v>62</v>
      </c>
      <c r="D111" t="s">
        <v>62</v>
      </c>
      <c r="E111" t="s">
        <v>62</v>
      </c>
    </row>
    <row r="112" spans="1:5">
      <c r="A112" t="s">
        <v>504</v>
      </c>
      <c r="B112" t="s">
        <v>69</v>
      </c>
      <c r="C112" t="s">
        <v>69</v>
      </c>
      <c r="D112" t="s">
        <v>69</v>
      </c>
      <c r="E112" t="s">
        <v>69</v>
      </c>
    </row>
    <row r="113" spans="1:5">
      <c r="A113" t="s">
        <v>505</v>
      </c>
      <c r="B113" t="s">
        <v>131</v>
      </c>
      <c r="C113" t="s">
        <v>506</v>
      </c>
      <c r="D113" t="s">
        <v>507</v>
      </c>
      <c r="E113" t="s">
        <v>508</v>
      </c>
    </row>
    <row r="114" spans="1:5">
      <c r="A114" t="s">
        <v>509</v>
      </c>
      <c r="B114" t="s">
        <v>130</v>
      </c>
      <c r="C114" t="s">
        <v>510</v>
      </c>
      <c r="D114" t="s">
        <v>511</v>
      </c>
      <c r="E114" t="s">
        <v>512</v>
      </c>
    </row>
    <row r="115" spans="1:5">
      <c r="A115" t="s">
        <v>513</v>
      </c>
      <c r="B115" t="s">
        <v>135</v>
      </c>
      <c r="C115" t="s">
        <v>514</v>
      </c>
      <c r="D115" t="s">
        <v>515</v>
      </c>
      <c r="E115" t="s">
        <v>516</v>
      </c>
    </row>
    <row r="116" spans="1:5">
      <c r="A116" t="s">
        <v>517</v>
      </c>
      <c r="B116" t="s">
        <v>136</v>
      </c>
      <c r="C116" t="s">
        <v>518</v>
      </c>
      <c r="D116" t="s">
        <v>518</v>
      </c>
      <c r="E116" t="s">
        <v>519</v>
      </c>
    </row>
    <row r="117" spans="1:5">
      <c r="A117" t="s">
        <v>520</v>
      </c>
      <c r="B117" t="s">
        <v>137</v>
      </c>
      <c r="C117" t="s">
        <v>521</v>
      </c>
      <c r="D117" t="s">
        <v>522</v>
      </c>
      <c r="E117" t="s">
        <v>523</v>
      </c>
    </row>
    <row r="118" spans="1:5">
      <c r="A118" t="s">
        <v>524</v>
      </c>
      <c r="B118" t="s">
        <v>525</v>
      </c>
      <c r="C118" t="s">
        <v>526</v>
      </c>
      <c r="D118" t="s">
        <v>527</v>
      </c>
      <c r="E118" t="s">
        <v>528</v>
      </c>
    </row>
    <row r="119" spans="1:5">
      <c r="A119" t="s">
        <v>529</v>
      </c>
      <c r="B119" t="s">
        <v>530</v>
      </c>
      <c r="C119" t="s">
        <v>531</v>
      </c>
      <c r="D119" t="s">
        <v>531</v>
      </c>
      <c r="E119" t="s">
        <v>532</v>
      </c>
    </row>
    <row r="120" spans="1:5">
      <c r="A120" t="s">
        <v>533</v>
      </c>
      <c r="B120" t="s">
        <v>534</v>
      </c>
      <c r="C120" t="s">
        <v>535</v>
      </c>
      <c r="D120" t="s">
        <v>536</v>
      </c>
      <c r="E120" t="s">
        <v>537</v>
      </c>
    </row>
    <row r="121" spans="1:5">
      <c r="A121" t="s">
        <v>538</v>
      </c>
      <c r="B121" t="s">
        <v>539</v>
      </c>
      <c r="C121" t="s">
        <v>540</v>
      </c>
      <c r="D121" t="s">
        <v>541</v>
      </c>
      <c r="E121" t="s">
        <v>542</v>
      </c>
    </row>
    <row r="122" spans="1:5">
      <c r="A122" t="s">
        <v>543</v>
      </c>
      <c r="B122" t="s">
        <v>544</v>
      </c>
      <c r="C122" t="s">
        <v>545</v>
      </c>
      <c r="D122" t="s">
        <v>546</v>
      </c>
      <c r="E122" t="s">
        <v>547</v>
      </c>
    </row>
    <row r="123" spans="1:5">
      <c r="A123" t="s">
        <v>548</v>
      </c>
      <c r="B123" t="s">
        <v>1211</v>
      </c>
      <c r="C123" t="s">
        <v>1213</v>
      </c>
      <c r="D123" t="s">
        <v>1215</v>
      </c>
      <c r="E123" t="s">
        <v>1217</v>
      </c>
    </row>
    <row r="124" spans="1:5">
      <c r="A124" t="s">
        <v>549</v>
      </c>
      <c r="B124" t="s">
        <v>1210</v>
      </c>
      <c r="C124" t="s">
        <v>1210</v>
      </c>
      <c r="D124" t="s">
        <v>1210</v>
      </c>
      <c r="E124" t="s">
        <v>1210</v>
      </c>
    </row>
    <row r="125" spans="1:5">
      <c r="A125" t="s">
        <v>550</v>
      </c>
      <c r="B125" t="s">
        <v>551</v>
      </c>
      <c r="C125" t="s">
        <v>552</v>
      </c>
      <c r="D125" t="s">
        <v>553</v>
      </c>
      <c r="E125" t="s">
        <v>554</v>
      </c>
    </row>
    <row r="126" spans="1:5">
      <c r="A126" t="s">
        <v>555</v>
      </c>
      <c r="B126" t="s">
        <v>556</v>
      </c>
      <c r="C126" t="s">
        <v>557</v>
      </c>
      <c r="D126" t="s">
        <v>558</v>
      </c>
      <c r="E126" t="s">
        <v>559</v>
      </c>
    </row>
    <row r="127" spans="1:5">
      <c r="A127" t="s">
        <v>560</v>
      </c>
      <c r="B127" t="s">
        <v>561</v>
      </c>
      <c r="C127" t="s">
        <v>561</v>
      </c>
      <c r="D127" t="s">
        <v>561</v>
      </c>
      <c r="E127" t="s">
        <v>561</v>
      </c>
    </row>
    <row r="128" spans="1:5">
      <c r="A128" t="s">
        <v>562</v>
      </c>
      <c r="B128" t="s">
        <v>563</v>
      </c>
      <c r="C128" t="s">
        <v>564</v>
      </c>
      <c r="D128" t="s">
        <v>565</v>
      </c>
      <c r="E128" t="s">
        <v>566</v>
      </c>
    </row>
    <row r="129" spans="1:5">
      <c r="A129" t="s">
        <v>567</v>
      </c>
      <c r="B129" t="s">
        <v>568</v>
      </c>
      <c r="C129" t="s">
        <v>569</v>
      </c>
      <c r="D129" t="s">
        <v>570</v>
      </c>
      <c r="E129" t="s">
        <v>571</v>
      </c>
    </row>
    <row r="130" spans="1:5">
      <c r="A130" t="s">
        <v>572</v>
      </c>
      <c r="B130" t="s">
        <v>573</v>
      </c>
      <c r="C130" t="s">
        <v>574</v>
      </c>
      <c r="D130" t="s">
        <v>575</v>
      </c>
      <c r="E130" t="s">
        <v>576</v>
      </c>
    </row>
    <row r="131" spans="1:5">
      <c r="A131" t="s">
        <v>577</v>
      </c>
      <c r="B131" t="s">
        <v>578</v>
      </c>
      <c r="C131" t="s">
        <v>579</v>
      </c>
      <c r="D131" t="s">
        <v>580</v>
      </c>
      <c r="E131" t="s">
        <v>581</v>
      </c>
    </row>
    <row r="132" spans="1:5">
      <c r="A132" t="s">
        <v>582</v>
      </c>
      <c r="B132" t="s">
        <v>583</v>
      </c>
      <c r="C132" t="s">
        <v>584</v>
      </c>
      <c r="D132" t="s">
        <v>585</v>
      </c>
      <c r="E132" t="s">
        <v>586</v>
      </c>
    </row>
    <row r="133" spans="1:5">
      <c r="A133" t="s">
        <v>587</v>
      </c>
      <c r="B133" t="s">
        <v>588</v>
      </c>
      <c r="C133" t="s">
        <v>589</v>
      </c>
      <c r="D133" t="s">
        <v>589</v>
      </c>
      <c r="E133" t="s">
        <v>590</v>
      </c>
    </row>
    <row r="134" spans="1:5">
      <c r="A134" t="s">
        <v>591</v>
      </c>
      <c r="B134" t="s">
        <v>958</v>
      </c>
      <c r="C134" t="s">
        <v>959</v>
      </c>
      <c r="D134" t="s">
        <v>960</v>
      </c>
      <c r="E134" t="s">
        <v>961</v>
      </c>
    </row>
    <row r="135" spans="1:5">
      <c r="A135" t="s">
        <v>592</v>
      </c>
      <c r="B135" t="s">
        <v>593</v>
      </c>
      <c r="C135" t="s">
        <v>594</v>
      </c>
      <c r="D135" t="s">
        <v>594</v>
      </c>
      <c r="E135" t="s">
        <v>595</v>
      </c>
    </row>
    <row r="136" spans="1:5" ht="118.8">
      <c r="A136" t="s">
        <v>596</v>
      </c>
      <c r="B136" s="198" t="s">
        <v>597</v>
      </c>
      <c r="C136" s="198" t="s">
        <v>598</v>
      </c>
      <c r="D136" s="198" t="s">
        <v>599</v>
      </c>
      <c r="E136" s="198" t="s">
        <v>600</v>
      </c>
    </row>
    <row r="137" spans="1:5">
      <c r="A137" t="s">
        <v>601</v>
      </c>
      <c r="B137" t="s">
        <v>602</v>
      </c>
      <c r="C137" t="s">
        <v>603</v>
      </c>
      <c r="D137" t="s">
        <v>604</v>
      </c>
      <c r="E137" t="s">
        <v>605</v>
      </c>
    </row>
    <row r="138" spans="1:5">
      <c r="A138" t="s">
        <v>606</v>
      </c>
      <c r="B138" t="s">
        <v>607</v>
      </c>
      <c r="C138" t="s">
        <v>608</v>
      </c>
      <c r="D138" t="s">
        <v>609</v>
      </c>
      <c r="E138" t="s">
        <v>610</v>
      </c>
    </row>
    <row r="139" spans="1:5">
      <c r="A139" t="s">
        <v>611</v>
      </c>
      <c r="B139" t="s">
        <v>612</v>
      </c>
      <c r="C139" t="s">
        <v>613</v>
      </c>
      <c r="D139" t="s">
        <v>614</v>
      </c>
      <c r="E139" t="s">
        <v>615</v>
      </c>
    </row>
    <row r="140" spans="1:5">
      <c r="A140" t="s">
        <v>616</v>
      </c>
      <c r="B140" t="s">
        <v>617</v>
      </c>
      <c r="C140" t="s">
        <v>618</v>
      </c>
      <c r="D140" t="s">
        <v>619</v>
      </c>
      <c r="E140" t="s">
        <v>620</v>
      </c>
    </row>
    <row r="141" spans="1:5">
      <c r="A141" t="s">
        <v>621</v>
      </c>
      <c r="B141" t="s">
        <v>622</v>
      </c>
      <c r="C141" t="s">
        <v>623</v>
      </c>
      <c r="D141" t="s">
        <v>624</v>
      </c>
      <c r="E141" t="s">
        <v>625</v>
      </c>
    </row>
    <row r="142" spans="1:5">
      <c r="A142" t="s">
        <v>626</v>
      </c>
      <c r="B142" t="s">
        <v>627</v>
      </c>
      <c r="C142" t="s">
        <v>628</v>
      </c>
      <c r="D142" t="s">
        <v>629</v>
      </c>
      <c r="E142" t="s">
        <v>630</v>
      </c>
    </row>
    <row r="143" spans="1:5">
      <c r="A143" t="s">
        <v>631</v>
      </c>
      <c r="B143" t="s">
        <v>632</v>
      </c>
      <c r="C143" t="s">
        <v>633</v>
      </c>
      <c r="D143" t="s">
        <v>634</v>
      </c>
      <c r="E143" t="s">
        <v>635</v>
      </c>
    </row>
    <row r="144" spans="1:5" ht="356.4">
      <c r="A144" t="s">
        <v>636</v>
      </c>
      <c r="B144" s="198" t="s">
        <v>1253</v>
      </c>
      <c r="C144" s="198" t="s">
        <v>1254</v>
      </c>
      <c r="D144" s="198" t="s">
        <v>1255</v>
      </c>
      <c r="E144" s="198" t="s">
        <v>1256</v>
      </c>
    </row>
    <row r="145" spans="1:5" ht="343.2">
      <c r="A145" t="s">
        <v>637</v>
      </c>
      <c r="B145" s="198" t="s">
        <v>638</v>
      </c>
      <c r="C145" s="198" t="s">
        <v>639</v>
      </c>
      <c r="D145" s="198" t="s">
        <v>640</v>
      </c>
      <c r="E145" s="198" t="s">
        <v>641</v>
      </c>
    </row>
    <row r="146" spans="1:5" ht="184.8">
      <c r="A146" t="s">
        <v>642</v>
      </c>
      <c r="B146" s="198" t="s">
        <v>643</v>
      </c>
      <c r="C146" s="198" t="s">
        <v>644</v>
      </c>
      <c r="D146" s="198" t="s">
        <v>645</v>
      </c>
      <c r="E146" s="198" t="s">
        <v>646</v>
      </c>
    </row>
    <row r="147" spans="1:5" ht="171.6">
      <c r="A147" t="s">
        <v>647</v>
      </c>
      <c r="B147" s="198" t="s">
        <v>722</v>
      </c>
      <c r="C147" s="198" t="s">
        <v>723</v>
      </c>
      <c r="D147" s="198" t="s">
        <v>724</v>
      </c>
      <c r="E147" s="198" t="s">
        <v>725</v>
      </c>
    </row>
    <row r="148" spans="1:5">
      <c r="A148" t="s">
        <v>648</v>
      </c>
      <c r="B148" t="s">
        <v>649</v>
      </c>
      <c r="C148" t="s">
        <v>650</v>
      </c>
      <c r="D148" t="s">
        <v>651</v>
      </c>
      <c r="E148" t="s">
        <v>652</v>
      </c>
    </row>
    <row r="149" spans="1:5" ht="409.6">
      <c r="A149" t="s">
        <v>653</v>
      </c>
      <c r="B149" s="198" t="s">
        <v>1207</v>
      </c>
      <c r="C149" s="198" t="s">
        <v>1204</v>
      </c>
      <c r="D149" s="198" t="s">
        <v>1205</v>
      </c>
      <c r="E149" s="198" t="s">
        <v>1206</v>
      </c>
    </row>
    <row r="150" spans="1:5">
      <c r="A150" t="s">
        <v>654</v>
      </c>
      <c r="B150" t="s">
        <v>655</v>
      </c>
      <c r="C150" t="s">
        <v>656</v>
      </c>
      <c r="D150" t="s">
        <v>655</v>
      </c>
      <c r="E150" t="s">
        <v>657</v>
      </c>
    </row>
    <row r="151" spans="1:5" ht="409.6">
      <c r="A151" t="s">
        <v>658</v>
      </c>
      <c r="B151" s="198" t="s">
        <v>659</v>
      </c>
      <c r="C151" s="198" t="s">
        <v>660</v>
      </c>
      <c r="D151" s="198" t="s">
        <v>661</v>
      </c>
      <c r="E151" s="198" t="s">
        <v>662</v>
      </c>
    </row>
    <row r="152" spans="1:5">
      <c r="A152" t="s">
        <v>663</v>
      </c>
      <c r="B152" t="s">
        <v>664</v>
      </c>
      <c r="C152" t="s">
        <v>665</v>
      </c>
      <c r="D152" t="s">
        <v>666</v>
      </c>
      <c r="E152" t="s">
        <v>667</v>
      </c>
    </row>
    <row r="153" spans="1:5">
      <c r="A153" t="s">
        <v>668</v>
      </c>
      <c r="B153" t="s">
        <v>669</v>
      </c>
      <c r="C153" t="s">
        <v>670</v>
      </c>
      <c r="D153" t="s">
        <v>671</v>
      </c>
      <c r="E153" t="s">
        <v>672</v>
      </c>
    </row>
    <row r="154" spans="1:5">
      <c r="A154" t="s">
        <v>673</v>
      </c>
      <c r="B154" t="s">
        <v>674</v>
      </c>
      <c r="C154" t="s">
        <v>675</v>
      </c>
      <c r="D154" t="s">
        <v>676</v>
      </c>
      <c r="E154" t="s">
        <v>677</v>
      </c>
    </row>
    <row r="155" spans="1:5">
      <c r="A155" t="s">
        <v>678</v>
      </c>
      <c r="B155" t="s">
        <v>679</v>
      </c>
      <c r="C155" t="s">
        <v>680</v>
      </c>
      <c r="D155" t="s">
        <v>681</v>
      </c>
      <c r="E155" t="s">
        <v>682</v>
      </c>
    </row>
    <row r="156" spans="1:5">
      <c r="A156" t="s">
        <v>683</v>
      </c>
      <c r="B156" t="s">
        <v>684</v>
      </c>
      <c r="C156" t="s">
        <v>685</v>
      </c>
      <c r="D156" t="s">
        <v>685</v>
      </c>
      <c r="E156" t="s">
        <v>686</v>
      </c>
    </row>
    <row r="157" spans="1:5">
      <c r="A157" t="s">
        <v>687</v>
      </c>
      <c r="B157" t="s">
        <v>688</v>
      </c>
      <c r="C157" t="s">
        <v>689</v>
      </c>
      <c r="D157" t="s">
        <v>690</v>
      </c>
      <c r="E157" t="s">
        <v>691</v>
      </c>
    </row>
    <row r="158" spans="1:5">
      <c r="A158" t="s">
        <v>693</v>
      </c>
      <c r="B158" t="s">
        <v>726</v>
      </c>
      <c r="C158" t="s">
        <v>727</v>
      </c>
      <c r="D158" t="s">
        <v>728</v>
      </c>
      <c r="E158" t="s">
        <v>729</v>
      </c>
    </row>
    <row r="159" spans="1:5">
      <c r="A159" t="s">
        <v>694</v>
      </c>
      <c r="B159" t="s">
        <v>695</v>
      </c>
      <c r="C159" t="s">
        <v>696</v>
      </c>
      <c r="D159" t="s">
        <v>697</v>
      </c>
      <c r="E159" t="s">
        <v>698</v>
      </c>
    </row>
    <row r="160" spans="1:5">
      <c r="A160" t="s">
        <v>699</v>
      </c>
      <c r="B160" t="s">
        <v>700</v>
      </c>
      <c r="C160" t="s">
        <v>701</v>
      </c>
      <c r="D160" t="s">
        <v>702</v>
      </c>
      <c r="E160" t="s">
        <v>703</v>
      </c>
    </row>
    <row r="161" spans="1:5">
      <c r="A161" t="s">
        <v>704</v>
      </c>
      <c r="B161" t="s">
        <v>705</v>
      </c>
      <c r="C161" t="s">
        <v>706</v>
      </c>
      <c r="D161" t="s">
        <v>707</v>
      </c>
      <c r="E161" t="s">
        <v>708</v>
      </c>
    </row>
    <row r="162" spans="1:5">
      <c r="A162" t="s">
        <v>709</v>
      </c>
      <c r="B162" t="s">
        <v>710</v>
      </c>
      <c r="C162" t="s">
        <v>711</v>
      </c>
      <c r="D162" t="s">
        <v>1226</v>
      </c>
      <c r="E162" t="s">
        <v>1227</v>
      </c>
    </row>
    <row r="163" spans="1:5">
      <c r="A163" t="s">
        <v>712</v>
      </c>
      <c r="B163" t="s">
        <v>713</v>
      </c>
      <c r="C163" t="s">
        <v>714</v>
      </c>
      <c r="D163" t="s">
        <v>715</v>
      </c>
      <c r="E163" t="s">
        <v>716</v>
      </c>
    </row>
    <row r="164" spans="1:5">
      <c r="A164" t="s">
        <v>717</v>
      </c>
      <c r="B164" t="s">
        <v>718</v>
      </c>
      <c r="C164" t="s">
        <v>719</v>
      </c>
      <c r="D164" t="s">
        <v>720</v>
      </c>
      <c r="E164" t="s">
        <v>721</v>
      </c>
    </row>
    <row r="165" spans="1:5">
      <c r="A165" t="s">
        <v>730</v>
      </c>
      <c r="B165" t="s">
        <v>731</v>
      </c>
      <c r="C165" t="s">
        <v>732</v>
      </c>
      <c r="D165" t="s">
        <v>733</v>
      </c>
      <c r="E165" t="s">
        <v>734</v>
      </c>
    </row>
    <row r="166" spans="1:5" ht="79.2">
      <c r="A166" t="s">
        <v>735</v>
      </c>
      <c r="B166" s="198" t="s">
        <v>1249</v>
      </c>
      <c r="C166" s="198" t="s">
        <v>1250</v>
      </c>
      <c r="D166" s="198" t="s">
        <v>1251</v>
      </c>
      <c r="E166" s="198" t="s">
        <v>1252</v>
      </c>
    </row>
    <row r="167" spans="1:5">
      <c r="A167" t="s">
        <v>736</v>
      </c>
      <c r="B167" t="s">
        <v>737</v>
      </c>
      <c r="C167" t="s">
        <v>738</v>
      </c>
      <c r="D167" t="s">
        <v>739</v>
      </c>
      <c r="E167" t="s">
        <v>740</v>
      </c>
    </row>
    <row r="168" spans="1:5">
      <c r="A168" t="s">
        <v>741</v>
      </c>
      <c r="B168" t="s">
        <v>742</v>
      </c>
      <c r="C168" t="s">
        <v>743</v>
      </c>
      <c r="D168" t="s">
        <v>744</v>
      </c>
      <c r="E168" t="s">
        <v>745</v>
      </c>
    </row>
    <row r="169" spans="1:5">
      <c r="A169" t="s">
        <v>746</v>
      </c>
      <c r="B169" t="s">
        <v>747</v>
      </c>
      <c r="C169" t="s">
        <v>748</v>
      </c>
      <c r="D169" t="s">
        <v>749</v>
      </c>
      <c r="E169" t="s">
        <v>750</v>
      </c>
    </row>
    <row r="170" spans="1:5">
      <c r="A170" t="s">
        <v>751</v>
      </c>
      <c r="B170" t="s">
        <v>752</v>
      </c>
      <c r="C170" t="s">
        <v>753</v>
      </c>
      <c r="D170" t="s">
        <v>754</v>
      </c>
      <c r="E170" t="s">
        <v>755</v>
      </c>
    </row>
    <row r="171" spans="1:5">
      <c r="A171" t="s">
        <v>756</v>
      </c>
      <c r="B171" t="s">
        <v>757</v>
      </c>
      <c r="C171" t="s">
        <v>758</v>
      </c>
      <c r="D171" t="s">
        <v>759</v>
      </c>
      <c r="E171" t="s">
        <v>760</v>
      </c>
    </row>
    <row r="172" spans="1:5">
      <c r="A172" t="s">
        <v>761</v>
      </c>
      <c r="B172" t="s">
        <v>762</v>
      </c>
      <c r="C172" t="s">
        <v>763</v>
      </c>
      <c r="D172" t="s">
        <v>764</v>
      </c>
      <c r="E172" t="s">
        <v>765</v>
      </c>
    </row>
    <row r="173" spans="1:5">
      <c r="A173" t="s">
        <v>766</v>
      </c>
      <c r="B173" t="s">
        <v>767</v>
      </c>
      <c r="C173" t="s">
        <v>768</v>
      </c>
      <c r="D173" t="s">
        <v>769</v>
      </c>
      <c r="E173" t="s">
        <v>770</v>
      </c>
    </row>
    <row r="174" spans="1:5">
      <c r="A174" t="s">
        <v>771</v>
      </c>
      <c r="B174" t="s">
        <v>772</v>
      </c>
      <c r="C174" t="s">
        <v>773</v>
      </c>
      <c r="D174" t="s">
        <v>774</v>
      </c>
      <c r="E174" t="s">
        <v>775</v>
      </c>
    </row>
    <row r="175" spans="1:5">
      <c r="A175" t="s">
        <v>776</v>
      </c>
      <c r="B175" t="s">
        <v>777</v>
      </c>
      <c r="C175" t="s">
        <v>778</v>
      </c>
      <c r="D175" t="s">
        <v>779</v>
      </c>
      <c r="E175" t="s">
        <v>780</v>
      </c>
    </row>
    <row r="176" spans="1:5">
      <c r="A176" t="s">
        <v>781</v>
      </c>
      <c r="B176" t="s">
        <v>782</v>
      </c>
      <c r="C176" t="s">
        <v>783</v>
      </c>
      <c r="D176" t="s">
        <v>784</v>
      </c>
      <c r="E176" t="s">
        <v>785</v>
      </c>
    </row>
    <row r="177" spans="1:5">
      <c r="A177" t="s">
        <v>786</v>
      </c>
      <c r="B177" t="s">
        <v>787</v>
      </c>
      <c r="C177" t="s">
        <v>788</v>
      </c>
      <c r="D177" t="s">
        <v>789</v>
      </c>
      <c r="E177" t="s">
        <v>790</v>
      </c>
    </row>
    <row r="178" spans="1:5">
      <c r="A178" t="s">
        <v>791</v>
      </c>
      <c r="B178" t="s">
        <v>792</v>
      </c>
      <c r="C178" t="s">
        <v>793</v>
      </c>
      <c r="D178" t="s">
        <v>794</v>
      </c>
      <c r="E178" t="s">
        <v>795</v>
      </c>
    </row>
    <row r="179" spans="1:5" ht="409.6">
      <c r="A179" t="s">
        <v>796</v>
      </c>
      <c r="B179" s="198" t="s">
        <v>941</v>
      </c>
      <c r="C179" s="198" t="s">
        <v>942</v>
      </c>
      <c r="D179" s="198" t="s">
        <v>943</v>
      </c>
      <c r="E179" s="198" t="s">
        <v>944</v>
      </c>
    </row>
    <row r="180" spans="1:5">
      <c r="A180" t="s">
        <v>804</v>
      </c>
      <c r="B180" t="s">
        <v>805</v>
      </c>
      <c r="C180" t="s">
        <v>805</v>
      </c>
      <c r="D180" t="s">
        <v>805</v>
      </c>
      <c r="E180" t="s">
        <v>805</v>
      </c>
    </row>
    <row r="181" spans="1:5">
      <c r="A181" t="s">
        <v>806</v>
      </c>
      <c r="B181" t="s">
        <v>807</v>
      </c>
      <c r="C181" t="s">
        <v>808</v>
      </c>
      <c r="D181" t="s">
        <v>809</v>
      </c>
      <c r="E181" t="s">
        <v>810</v>
      </c>
    </row>
    <row r="182" spans="1:5">
      <c r="A182" t="s">
        <v>811</v>
      </c>
      <c r="B182" t="s">
        <v>812</v>
      </c>
      <c r="C182" t="s">
        <v>813</v>
      </c>
      <c r="D182" t="s">
        <v>814</v>
      </c>
      <c r="E182" t="s">
        <v>815</v>
      </c>
    </row>
    <row r="183" spans="1:5">
      <c r="A183" t="s">
        <v>816</v>
      </c>
      <c r="B183" t="s">
        <v>817</v>
      </c>
      <c r="C183" t="s">
        <v>818</v>
      </c>
      <c r="D183" t="s">
        <v>819</v>
      </c>
      <c r="E183" t="s">
        <v>820</v>
      </c>
    </row>
    <row r="184" spans="1:5">
      <c r="A184" t="s">
        <v>821</v>
      </c>
      <c r="B184" t="s">
        <v>822</v>
      </c>
      <c r="C184" t="s">
        <v>823</v>
      </c>
      <c r="D184" t="s">
        <v>824</v>
      </c>
      <c r="E184" t="s">
        <v>825</v>
      </c>
    </row>
    <row r="185" spans="1:5">
      <c r="A185" t="s">
        <v>826</v>
      </c>
      <c r="B185" t="s">
        <v>827</v>
      </c>
      <c r="C185" t="s">
        <v>828</v>
      </c>
      <c r="D185" t="s">
        <v>828</v>
      </c>
      <c r="E185" t="s">
        <v>829</v>
      </c>
    </row>
    <row r="186" spans="1:5">
      <c r="A186" t="s">
        <v>830</v>
      </c>
      <c r="B186" t="s">
        <v>831</v>
      </c>
      <c r="C186" t="s">
        <v>832</v>
      </c>
      <c r="D186" t="s">
        <v>832</v>
      </c>
      <c r="E186" t="s">
        <v>833</v>
      </c>
    </row>
    <row r="187" spans="1:5">
      <c r="A187" t="s">
        <v>834</v>
      </c>
      <c r="B187" t="s">
        <v>835</v>
      </c>
      <c r="C187" t="s">
        <v>836</v>
      </c>
      <c r="D187" t="s">
        <v>837</v>
      </c>
      <c r="E187" t="s">
        <v>835</v>
      </c>
    </row>
    <row r="188" spans="1:5">
      <c r="A188" t="s">
        <v>838</v>
      </c>
      <c r="B188" t="s">
        <v>839</v>
      </c>
      <c r="C188" t="s">
        <v>840</v>
      </c>
      <c r="D188" t="s">
        <v>840</v>
      </c>
      <c r="E188" t="s">
        <v>841</v>
      </c>
    </row>
    <row r="189" spans="1:5">
      <c r="A189" t="s">
        <v>842</v>
      </c>
      <c r="B189" t="s">
        <v>843</v>
      </c>
      <c r="C189" t="s">
        <v>843</v>
      </c>
      <c r="D189" t="s">
        <v>843</v>
      </c>
      <c r="E189" t="s">
        <v>844</v>
      </c>
    </row>
    <row r="190" spans="1:5">
      <c r="A190" t="s">
        <v>845</v>
      </c>
      <c r="B190" t="s">
        <v>6</v>
      </c>
      <c r="C190" t="s">
        <v>846</v>
      </c>
      <c r="D190" t="s">
        <v>846</v>
      </c>
      <c r="E190" t="s">
        <v>847</v>
      </c>
    </row>
    <row r="191" spans="1:5">
      <c r="A191" t="s">
        <v>848</v>
      </c>
      <c r="B191" t="s">
        <v>8</v>
      </c>
      <c r="C191" t="s">
        <v>849</v>
      </c>
      <c r="D191" t="s">
        <v>850</v>
      </c>
      <c r="E191" t="s">
        <v>851</v>
      </c>
    </row>
    <row r="192" spans="1:5">
      <c r="A192" t="s">
        <v>852</v>
      </c>
      <c r="B192" t="s">
        <v>68</v>
      </c>
      <c r="C192" t="s">
        <v>853</v>
      </c>
      <c r="D192" t="s">
        <v>853</v>
      </c>
      <c r="E192" t="s">
        <v>854</v>
      </c>
    </row>
    <row r="193" spans="1:5">
      <c r="A193" t="s">
        <v>855</v>
      </c>
      <c r="B193" t="s">
        <v>4</v>
      </c>
      <c r="C193" t="s">
        <v>856</v>
      </c>
      <c r="D193" t="s">
        <v>857</v>
      </c>
      <c r="E193" t="s">
        <v>4</v>
      </c>
    </row>
    <row r="194" spans="1:5">
      <c r="A194" t="s">
        <v>861</v>
      </c>
      <c r="B194" t="s">
        <v>862</v>
      </c>
      <c r="C194" t="s">
        <v>863</v>
      </c>
      <c r="D194" t="s">
        <v>864</v>
      </c>
      <c r="E194" t="s">
        <v>865</v>
      </c>
    </row>
    <row r="195" spans="1:5">
      <c r="A195" t="s">
        <v>866</v>
      </c>
      <c r="B195" t="s">
        <v>867</v>
      </c>
      <c r="C195" t="s">
        <v>868</v>
      </c>
      <c r="D195" t="s">
        <v>869</v>
      </c>
      <c r="E195" t="s">
        <v>870</v>
      </c>
    </row>
    <row r="196" spans="1:5">
      <c r="A196" t="s">
        <v>871</v>
      </c>
      <c r="B196" t="s">
        <v>872</v>
      </c>
      <c r="C196" t="s">
        <v>873</v>
      </c>
      <c r="D196" t="s">
        <v>874</v>
      </c>
      <c r="E196" t="s">
        <v>875</v>
      </c>
    </row>
    <row r="197" spans="1:5">
      <c r="A197" t="s">
        <v>876</v>
      </c>
      <c r="B197" t="s">
        <v>877</v>
      </c>
      <c r="C197" t="s">
        <v>174</v>
      </c>
      <c r="D197" t="s">
        <v>174</v>
      </c>
      <c r="E197" t="s">
        <v>175</v>
      </c>
    </row>
    <row r="198" spans="1:5">
      <c r="A198" t="s">
        <v>878</v>
      </c>
      <c r="B198" t="s">
        <v>16</v>
      </c>
      <c r="C198" t="s">
        <v>214</v>
      </c>
      <c r="D198" t="s">
        <v>215</v>
      </c>
      <c r="E198" t="s">
        <v>216</v>
      </c>
    </row>
    <row r="199" spans="1:5">
      <c r="A199" t="s">
        <v>879</v>
      </c>
      <c r="B199" t="s">
        <v>880</v>
      </c>
      <c r="C199" t="s">
        <v>881</v>
      </c>
      <c r="D199" t="s">
        <v>882</v>
      </c>
      <c r="E199" t="s">
        <v>883</v>
      </c>
    </row>
    <row r="200" spans="1:5">
      <c r="A200" t="s">
        <v>884</v>
      </c>
      <c r="B200" t="s">
        <v>885</v>
      </c>
      <c r="C200" t="s">
        <v>886</v>
      </c>
      <c r="D200" t="s">
        <v>887</v>
      </c>
      <c r="E200" t="s">
        <v>888</v>
      </c>
    </row>
    <row r="201" spans="1:5">
      <c r="A201" t="s">
        <v>889</v>
      </c>
      <c r="B201" t="s">
        <v>890</v>
      </c>
      <c r="C201" t="s">
        <v>891</v>
      </c>
      <c r="D201" t="s">
        <v>892</v>
      </c>
      <c r="E201" t="s">
        <v>893</v>
      </c>
    </row>
    <row r="202" spans="1:5">
      <c r="A202" t="s">
        <v>894</v>
      </c>
      <c r="B202" t="s">
        <v>895</v>
      </c>
      <c r="C202" t="s">
        <v>896</v>
      </c>
      <c r="D202" t="s">
        <v>897</v>
      </c>
      <c r="E202" t="s">
        <v>898</v>
      </c>
    </row>
    <row r="203" spans="1:5">
      <c r="A203" t="s">
        <v>899</v>
      </c>
      <c r="B203" t="s">
        <v>900</v>
      </c>
      <c r="C203" t="s">
        <v>901</v>
      </c>
      <c r="D203" t="s">
        <v>902</v>
      </c>
      <c r="E203" t="s">
        <v>903</v>
      </c>
    </row>
    <row r="204" spans="1:5">
      <c r="A204" t="s">
        <v>904</v>
      </c>
      <c r="B204" t="s">
        <v>905</v>
      </c>
      <c r="C204" t="s">
        <v>906</v>
      </c>
      <c r="D204" t="s">
        <v>907</v>
      </c>
      <c r="E204" t="s">
        <v>908</v>
      </c>
    </row>
    <row r="205" spans="1:5">
      <c r="A205" t="s">
        <v>909</v>
      </c>
      <c r="B205" t="s">
        <v>910</v>
      </c>
      <c r="C205" t="s">
        <v>911</v>
      </c>
      <c r="D205" t="s">
        <v>912</v>
      </c>
      <c r="E205" t="s">
        <v>913</v>
      </c>
    </row>
    <row r="206" spans="1:5">
      <c r="A206" t="s">
        <v>914</v>
      </c>
      <c r="B206" t="s">
        <v>915</v>
      </c>
      <c r="C206" t="s">
        <v>916</v>
      </c>
      <c r="D206" t="s">
        <v>917</v>
      </c>
      <c r="E206" t="s">
        <v>918</v>
      </c>
    </row>
    <row r="207" spans="1:5">
      <c r="A207" t="s">
        <v>919</v>
      </c>
      <c r="B207" t="s">
        <v>920</v>
      </c>
      <c r="C207" t="s">
        <v>921</v>
      </c>
      <c r="D207" t="s">
        <v>922</v>
      </c>
      <c r="E207" t="s">
        <v>923</v>
      </c>
    </row>
    <row r="208" spans="1:5">
      <c r="A208" t="s">
        <v>924</v>
      </c>
      <c r="B208" t="s">
        <v>925</v>
      </c>
      <c r="C208" t="s">
        <v>926</v>
      </c>
      <c r="D208" t="s">
        <v>927</v>
      </c>
      <c r="E208" t="s">
        <v>928</v>
      </c>
    </row>
    <row r="209" spans="1:5">
      <c r="A209" t="s">
        <v>929</v>
      </c>
      <c r="B209" t="s">
        <v>930</v>
      </c>
      <c r="C209" t="s">
        <v>931</v>
      </c>
      <c r="D209" t="s">
        <v>932</v>
      </c>
      <c r="E209" t="s">
        <v>933</v>
      </c>
    </row>
    <row r="210" spans="1:5">
      <c r="A210" t="s">
        <v>934</v>
      </c>
      <c r="B210" t="s">
        <v>935</v>
      </c>
      <c r="C210" t="s">
        <v>936</v>
      </c>
      <c r="D210" t="s">
        <v>937</v>
      </c>
      <c r="E210" t="s">
        <v>938</v>
      </c>
    </row>
    <row r="211" spans="1:5">
      <c r="A211" t="s">
        <v>939</v>
      </c>
      <c r="B211" t="s">
        <v>940</v>
      </c>
      <c r="C211" t="s">
        <v>940</v>
      </c>
      <c r="D211" t="s">
        <v>940</v>
      </c>
      <c r="E211" t="s">
        <v>940</v>
      </c>
    </row>
    <row r="212" spans="1:5">
      <c r="A212" t="s">
        <v>994</v>
      </c>
      <c r="B212" t="s">
        <v>995</v>
      </c>
      <c r="C212" t="s">
        <v>996</v>
      </c>
      <c r="D212" t="s">
        <v>996</v>
      </c>
      <c r="E212" t="s">
        <v>997</v>
      </c>
    </row>
    <row r="213" spans="1:5">
      <c r="A213" t="s">
        <v>998</v>
      </c>
      <c r="B213" t="s">
        <v>999</v>
      </c>
      <c r="C213" t="s">
        <v>1000</v>
      </c>
      <c r="D213" t="s">
        <v>1001</v>
      </c>
      <c r="E213" t="s">
        <v>1002</v>
      </c>
    </row>
    <row r="214" spans="1:5">
      <c r="A214" t="s">
        <v>1218</v>
      </c>
      <c r="B214" t="s">
        <v>1219</v>
      </c>
      <c r="C214" t="s">
        <v>1220</v>
      </c>
      <c r="D214" t="s">
        <v>1221</v>
      </c>
      <c r="E214" t="s">
        <v>1222</v>
      </c>
    </row>
    <row r="215" spans="1:5">
      <c r="A215" t="s">
        <v>1257</v>
      </c>
      <c r="B215" t="s">
        <v>5</v>
      </c>
      <c r="C215" t="s">
        <v>1258</v>
      </c>
      <c r="D215" t="s">
        <v>1259</v>
      </c>
      <c r="E215" t="s">
        <v>1260</v>
      </c>
    </row>
    <row r="216" spans="1:5">
      <c r="A216" t="s">
        <v>1261</v>
      </c>
      <c r="B216" t="s">
        <v>7</v>
      </c>
      <c r="C216" t="s">
        <v>1262</v>
      </c>
      <c r="D216" t="s">
        <v>1263</v>
      </c>
      <c r="E216" t="s">
        <v>1264</v>
      </c>
    </row>
    <row r="217" spans="1:5">
      <c r="A217" t="s">
        <v>1265</v>
      </c>
      <c r="B217" t="s">
        <v>91</v>
      </c>
      <c r="C217" t="s">
        <v>1266</v>
      </c>
      <c r="D217" t="s">
        <v>1267</v>
      </c>
      <c r="E217" t="s">
        <v>1268</v>
      </c>
    </row>
    <row r="218" spans="1:5">
      <c r="A218" t="s">
        <v>1269</v>
      </c>
      <c r="B218" t="s">
        <v>16</v>
      </c>
      <c r="C218" t="s">
        <v>1270</v>
      </c>
      <c r="D218" t="s">
        <v>1271</v>
      </c>
      <c r="E218" t="s">
        <v>1272</v>
      </c>
    </row>
    <row r="219" spans="1:5">
      <c r="A219" t="s">
        <v>1273</v>
      </c>
      <c r="B219" t="s">
        <v>104</v>
      </c>
      <c r="C219" t="s">
        <v>1274</v>
      </c>
      <c r="D219" t="s">
        <v>1275</v>
      </c>
      <c r="E219" t="s">
        <v>1276</v>
      </c>
    </row>
    <row r="220" spans="1:5">
      <c r="A220" t="s">
        <v>1277</v>
      </c>
      <c r="B220" t="s">
        <v>1278</v>
      </c>
      <c r="C220" t="s">
        <v>424</v>
      </c>
      <c r="D220" t="s">
        <v>425</v>
      </c>
      <c r="E220" t="s">
        <v>1279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857E6-EA66-435C-8DEE-BDCE44E49C54}">
  <sheetPr codeName="Sheet4"/>
  <dimension ref="E1:N30"/>
  <sheetViews>
    <sheetView workbookViewId="0"/>
  </sheetViews>
  <sheetFormatPr defaultRowHeight="13.2"/>
  <sheetData>
    <row r="1" spans="6:14">
      <c r="G1" t="s">
        <v>858</v>
      </c>
      <c r="H1">
        <f>IF(Home!$F$6="Metric",2*5/9,2)</f>
        <v>2</v>
      </c>
      <c r="I1" t="s">
        <v>945</v>
      </c>
      <c r="J1">
        <f>'Model_Pump Savings'!F21</f>
        <v>4</v>
      </c>
      <c r="K1">
        <f>MAX('Model_Pump Savings'!G23:G26)*0.746</f>
        <v>4.8883083062770565</v>
      </c>
      <c r="N1">
        <v>4.5999999999999996</v>
      </c>
    </row>
    <row r="2" spans="6:14">
      <c r="G2" t="s">
        <v>859</v>
      </c>
      <c r="H2">
        <f>IF(Home!$F$6="Metric",40*5/9,40)</f>
        <v>40</v>
      </c>
      <c r="J2">
        <f>'Model_Pump Savings'!F29</f>
        <v>6</v>
      </c>
      <c r="K2">
        <f>MAX('Model_Pump Savings'!G31:G34)*0.746</f>
        <v>4.8883083062770565</v>
      </c>
      <c r="N2" s="295">
        <v>46300</v>
      </c>
    </row>
    <row r="3" spans="6:14">
      <c r="G3" t="s">
        <v>860</v>
      </c>
      <c r="H3">
        <f>IF(Home!$F$6="Metric",2*5/9,2)</f>
        <v>2</v>
      </c>
      <c r="J3">
        <f>'Model_Pump Savings'!F37</f>
        <v>8</v>
      </c>
      <c r="K3">
        <f>MAX('Model_Pump Savings'!G39:G42)*0.746</f>
        <v>4.8883083062770565</v>
      </c>
      <c r="N3">
        <v>1</v>
      </c>
    </row>
    <row r="4" spans="6:14">
      <c r="J4">
        <f>'Model_Pump Savings'!F45</f>
        <v>10</v>
      </c>
      <c r="K4">
        <f>MAX('Model_Pump Savings'!G47:G50)*0.746</f>
        <v>4.3248623376623367</v>
      </c>
    </row>
    <row r="5" spans="6:14">
      <c r="J5">
        <f>'Model_Pump Savings'!F53</f>
        <v>12</v>
      </c>
      <c r="K5">
        <f>MAX('Model_Pump Savings'!G55:G58)*0.746</f>
        <v>2.502813852813853</v>
      </c>
    </row>
    <row r="6" spans="6:14">
      <c r="J6">
        <f>'Model_Pump Savings'!F61</f>
        <v>14</v>
      </c>
      <c r="K6">
        <f>MAX('Model_Pump Savings'!G63:G66)*0.746</f>
        <v>1.5761160122676159</v>
      </c>
    </row>
    <row r="11" spans="6:14">
      <c r="F11">
        <v>310</v>
      </c>
    </row>
    <row r="16" spans="6:14">
      <c r="F16">
        <v>30</v>
      </c>
    </row>
    <row r="18" spans="5:6">
      <c r="F18">
        <v>12</v>
      </c>
    </row>
    <row r="19" spans="5:6">
      <c r="F19">
        <v>6</v>
      </c>
    </row>
    <row r="20" spans="5:6">
      <c r="F20">
        <v>12</v>
      </c>
    </row>
    <row r="21" spans="5:6">
      <c r="F21">
        <v>14</v>
      </c>
    </row>
    <row r="30" spans="5:6">
      <c r="E30" t="s">
        <v>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13</vt:i4>
      </vt:variant>
    </vt:vector>
  </HeadingPairs>
  <TitlesOfParts>
    <vt:vector size="18" baseType="lpstr">
      <vt:lpstr>Home</vt:lpstr>
      <vt:lpstr>Pump Savings</vt:lpstr>
      <vt:lpstr>Flow Curves</vt:lpstr>
      <vt:lpstr>Charts</vt:lpstr>
      <vt:lpstr>Results</vt:lpstr>
      <vt:lpstr>DT_GAP</vt:lpstr>
      <vt:lpstr>DT_MAX_BOUND</vt:lpstr>
      <vt:lpstr>DT_MIN_BOUND</vt:lpstr>
      <vt:lpstr>Charts!Print_Area</vt:lpstr>
      <vt:lpstr>'Flow Curves'!Print_Area</vt:lpstr>
      <vt:lpstr>Home!Print_Area</vt:lpstr>
      <vt:lpstr>'Pump Savings'!Print_Area</vt:lpstr>
      <vt:lpstr>Results!Print_Area</vt:lpstr>
      <vt:lpstr>rDate</vt:lpstr>
      <vt:lpstr>rUpdMode</vt:lpstr>
      <vt:lpstr>rVersion</vt:lpstr>
      <vt:lpstr>SelectedLanguage</vt:lpstr>
      <vt:lpstr>SelectedUnitSystem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Belimo Energy Valve Coil Estimator Tool</dc:title>
  <dc:creator>Smith, Rick</dc:creator>
  <cp:lastModifiedBy>Smith Rick</cp:lastModifiedBy>
  <cp:lastPrinted>2023-02-07T19:18:19Z</cp:lastPrinted>
  <dcterms:created xsi:type="dcterms:W3CDTF">2023-01-25T21:57:18Z</dcterms:created>
  <dcterms:modified xsi:type="dcterms:W3CDTF">2026-10-05T19:00:43Z</dcterms:modified>
</cp:coreProperties>
</file>